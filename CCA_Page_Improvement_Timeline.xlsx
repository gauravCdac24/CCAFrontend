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0" yWindow="645" windowWidth="28455" windowHeight="11700"/>
  </bookViews>
  <sheets>
    <sheet name="Timeline" sheetId="1" r:id="rId1"/>
    <sheet name="Module summary" sheetId="2" r:id="rId2"/>
  </sheets>
  <definedNames>
    <definedName name="_xlnm._FilterDatabase" localSheetId="1" hidden="1">'Module summary'!$A$1:$I$13</definedName>
    <definedName name="_xlnm._FilterDatabase" localSheetId="0" hidden="1">Timeline!$A$1:$K$298</definedName>
    <definedName name="_xlnm.Print_Titles" localSheetId="1">'Module summary'!$1:$1</definedName>
    <definedName name="_xlnm.Print_Titles" localSheetId="0">Timeline!$1:$1</definedName>
  </definedNames>
  <calcPr calcId="125725"/>
</workbook>
</file>

<file path=xl/calcChain.xml><?xml version="1.0" encoding="utf-8"?>
<calcChain xmlns="http://schemas.openxmlformats.org/spreadsheetml/2006/main">
  <c r="I13" i="2"/>
  <c r="H13"/>
  <c r="G13"/>
  <c r="F13"/>
  <c r="C13"/>
  <c r="I12"/>
  <c r="H12"/>
  <c r="G12"/>
  <c r="F12"/>
  <c r="C12"/>
  <c r="I11"/>
  <c r="H11"/>
  <c r="G11"/>
  <c r="F11"/>
  <c r="C11"/>
  <c r="I10"/>
  <c r="H10"/>
  <c r="G10"/>
  <c r="F10"/>
  <c r="C10"/>
  <c r="I9"/>
  <c r="H9"/>
  <c r="G9"/>
  <c r="F9"/>
  <c r="C9"/>
  <c r="I8"/>
  <c r="H8"/>
  <c r="G8"/>
  <c r="F8"/>
  <c r="C8"/>
  <c r="I7"/>
  <c r="H7"/>
  <c r="G7"/>
  <c r="F7"/>
  <c r="C7"/>
  <c r="I6"/>
  <c r="H6"/>
  <c r="G6"/>
  <c r="F6"/>
  <c r="C6"/>
  <c r="I5"/>
  <c r="H5"/>
  <c r="G5"/>
  <c r="F5"/>
  <c r="C5"/>
  <c r="I4"/>
  <c r="H4"/>
  <c r="G4"/>
  <c r="F4"/>
  <c r="C4"/>
  <c r="I3"/>
  <c r="H3"/>
  <c r="G3"/>
  <c r="F3"/>
  <c r="C3"/>
  <c r="I2"/>
  <c r="H2"/>
  <c r="G2"/>
  <c r="F2"/>
  <c r="C2"/>
  <c r="J296" i="1"/>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5"/>
  <c r="J204"/>
  <c r="J203"/>
  <c r="J202"/>
  <c r="J201"/>
  <c r="J199"/>
  <c r="J198"/>
  <c r="J197"/>
  <c r="J196"/>
  <c r="J195"/>
  <c r="J194"/>
  <c r="J193"/>
  <c r="J189"/>
  <c r="J188"/>
  <c r="J187"/>
  <c r="J186"/>
  <c r="J185"/>
  <c r="J184"/>
  <c r="J183"/>
  <c r="J182"/>
  <c r="J181"/>
  <c r="J180"/>
  <c r="J179"/>
  <c r="J178"/>
  <c r="J142"/>
  <c r="J141"/>
  <c r="J140"/>
  <c r="J139"/>
  <c r="J138"/>
  <c r="J137"/>
  <c r="J136"/>
  <c r="J135"/>
  <c r="J134"/>
  <c r="J133"/>
  <c r="J132"/>
  <c r="J131"/>
  <c r="J130"/>
  <c r="J129"/>
  <c r="J128"/>
  <c r="J127"/>
  <c r="J126"/>
  <c r="J125"/>
  <c r="J124"/>
  <c r="J123"/>
  <c r="J122"/>
  <c r="J121"/>
  <c r="J120"/>
  <c r="J119"/>
  <c r="J118"/>
  <c r="J117"/>
  <c r="J108"/>
  <c r="J107"/>
  <c r="J106"/>
  <c r="J105"/>
  <c r="J104"/>
  <c r="J103"/>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45"/>
  <c r="J44"/>
  <c r="J43"/>
  <c r="J23"/>
  <c r="J22"/>
  <c r="J21"/>
  <c r="J20"/>
  <c r="J14"/>
  <c r="J13"/>
  <c r="J12"/>
  <c r="J11"/>
  <c r="J10"/>
  <c r="J9"/>
  <c r="J8"/>
  <c r="J7"/>
  <c r="J6"/>
  <c r="J5"/>
  <c r="J4"/>
  <c r="J3"/>
  <c r="J2"/>
  <c r="I14" i="2" l="1"/>
  <c r="F14"/>
  <c r="C14"/>
  <c r="G14"/>
  <c r="H14"/>
</calcChain>
</file>

<file path=xl/sharedStrings.xml><?xml version="1.0" encoding="utf-8"?>
<sst xmlns="http://schemas.openxmlformats.org/spreadsheetml/2006/main" count="2110" uniqueCount="1051">
  <si>
    <t>S.No</t>
  </si>
  <si>
    <t>Module</t>
  </si>
  <si>
    <t>Role</t>
  </si>
  <si>
    <t>Page</t>
  </si>
  <si>
    <t>Route</t>
  </si>
  <si>
    <t>Task to be done</t>
  </si>
  <si>
    <t>UI improvement</t>
  </si>
  <si>
    <t>Start date</t>
  </si>
  <si>
    <t>End date</t>
  </si>
  <si>
    <t>Window (working days)</t>
  </si>
  <si>
    <t>Status</t>
  </si>
  <si>
    <t>Applicant</t>
  </si>
  <si>
    <t>Application list</t>
  </si>
  <si>
    <t>applicationform</t>
  </si>
  <si>
    <t>Show application number, type, status, and last updated date. Make the primary action depend on status: continue draft, view submitted, or open non-compliance.</t>
  </si>
  <si>
    <t>Align the page title with the new-application button on one row. Show status as a fixed-width badge, and keep row actions on a single line at the right edge of the table.</t>
  </si>
  <si>
    <t>Not started</t>
  </si>
  <si>
    <t>New application shell</t>
  </si>
  <si>
    <t>applicationform/addapplicationform</t>
  </si>
  <si>
    <t>Keep the step list correct for Individual, Firm, Partnership, and Government. Restore the saved step after refresh and block a jump to a step that has no saved parent record.</t>
  </si>
  <si>
    <t>Lay the stepper out in one line with equal step widths and a clear active step. Pin Back and Next to a bottom bar so they stay in the same place on every step.</t>
  </si>
  <si>
    <t>Personal details</t>
  </si>
  <si>
    <t>Validate name, date of birth, PAN, and contact fields. Keep the step label and success or error alert aligned with the application type.</t>
  </si>
  <si>
    <t>Place the personal-detail fields in a two-column grid with labels directly above each input and equal gaps. Show a field error under that input, and align Save to the right of the form.</t>
  </si>
  <si>
    <t>Address details</t>
  </si>
  <si>
    <t>Require address, state, and city from the master lists. Reject an incomplete pin code and keep country, state, and city in a valid chain.</t>
  </si>
  <si>
    <t>Keep address, country, state, city, and pin code in one aligned grid. Make the dropdowns the same height as the text fields, and keep the error text from pushing the next field out of line.</t>
  </si>
  <si>
    <t>Financial details</t>
  </si>
  <si>
    <t>Validate turnover and net-worth figures as numbers, require the supporting period, and show a clear message when a mandatory financial field is missing.</t>
  </si>
  <si>
    <t>Align amount fields and their labels on one vertical rhythm. Right-align numeric inputs, and keep the helper text directly under the field it describes.</t>
  </si>
  <si>
    <t>Additional details</t>
  </si>
  <si>
    <t>Make every required question answerable, keep remarks mandatory where the answer needs an explanation, and preserve answers when the user moves back a step.</t>
  </si>
  <si>
    <t>Give each question the same spacing and a full-width answer control. Keep radio or checkbox options in a straight row, and place any remark box under the question that needs it.</t>
  </si>
  <si>
    <t>Firm details</t>
  </si>
  <si>
    <t>Show this step only for firm and partnership types. Validate firm name, registration, and date of incorporation, and reject a future incorporation date.</t>
  </si>
  <si>
    <t>Group firm name, registration, and dates into one card with a visible heading. Keep date fields the same width, and align the action buttons with the other application steps.</t>
  </si>
  <si>
    <t>Income-tax documents</t>
  </si>
  <si>
    <t>Restrict uploads to the allowed file types and size, require the assessment year, and let the user replace a file without leaving a broken document reference.</t>
  </si>
  <si>
    <t>Show each upload as a row with the document name, file name, and a replace action lined up in columns. Give the empty upload a clear drop area instead of a bare file input.</t>
  </si>
  <si>
    <t>Partner details</t>
  </si>
  <si>
    <t>Require at least one partner for partnership applications. Validate each partner's identity fields and stop a blank partner row from being saved.</t>
  </si>
  <si>
    <t>Show partners as separate cards with the same internal field grid. Line up Add partner and Remove so they do not sit at different heights when a validation message appears.</t>
  </si>
  <si>
    <t>Authorized representative</t>
  </si>
  <si>
    <t>Validate representative name, designation, and contact details. Keep the authorization document required before the step can be completed.</t>
  </si>
  <si>
    <t>Align the representative fields and the authorization upload on the same form grid. Keep the file name visible beside the upload button after a file is chosen.</t>
  </si>
  <si>
    <t>Organizational details</t>
  </si>
  <si>
    <t>Show this step for government applications. Require organization name, ministry or department, and the authorized contact before save.</t>
  </si>
  <si>
    <t>Use one section heading and a single-column stack for organization, department, and contact. Match the input height and button placement used on the other government steps.</t>
  </si>
  <si>
    <t>Location of facility</t>
  </si>
  <si>
    <t>Require at least one facility address. Validate city and state against masters and keep multiple locations editable without losing earlier rows.</t>
  </si>
  <si>
    <t>Show each facility as a card with address fields in a consistent grid. Keep Add location at the bottom left and the step actions at the bottom right.</t>
  </si>
  <si>
    <t>CPS and additional documents</t>
  </si>
  <si>
    <t>Load the CPS document list from the master, mark mandatory documents, and block continue while a required file is missing or still uploading.</t>
  </si>
  <si>
    <t>List each CPS document in a table-like row: name, required marker, file, and action. Mark missing required files in the row itself so the gap is visible without scrolling to an alert.</t>
  </si>
  <si>
    <t>Individual checklist</t>
  </si>
  <si>
    <t>Match checklist points to the individual application type. Require every point to be accepted before declaration.</t>
  </si>
  <si>
    <t>Show checklist points as a single column with the checkbox and the point text vertically centered. Keep the accept control from wrapping onto a second uneven line.</t>
  </si>
  <si>
    <t>Firm checklist and declaration</t>
  </si>
  <si>
    <t>Use the firm or partnership checklist, require the declaration text to be accepted, and keep the signatory name consistent with the saved representative.</t>
  </si>
  <si>
    <t>Separate the checklist and the declaration into two stacked sections with the same left margin. Make the declaration text readable, and place the acceptance checkbox on its own row above the buttons.</t>
  </si>
  <si>
    <t>Government checklist and declaration</t>
  </si>
  <si>
    <t>Use the government declaration wording and block submit until the organizational details and declaration are both complete.</t>
  </si>
  <si>
    <t>Use the same checklist spacing as the other declarations. Keep the government declaration block full width and the acceptance checkbox aligned with the first line of that text.</t>
  </si>
  <si>
    <t>Submit preview</t>
  </si>
  <si>
    <t>Show a read-only summary of every saved step. Final submit must use the final-submission message and return the user to the application list with status updated.</t>
  </si>
  <si>
    <t>Present the preview as labeled sections in the same order as the wizard. Use a definition layout for values, and put Edit and Submit on one button row at the bottom.</t>
  </si>
  <si>
    <t>Application view</t>
  </si>
  <si>
    <t>Open a submitted application in read-only form for individual, firm, and government, with the same field labels used on the edit steps.</t>
  </si>
  <si>
    <t>Use the same section headings and two-column value layout for individual, firm, and government views. Keep long values from overflowing the card, and show document names as consistent links.</t>
  </si>
  <si>
    <t>Non-compliance response</t>
  </si>
  <si>
    <t>applicationform/auditordetails/:id</t>
  </si>
  <si>
    <t>List auditor remarks, require the applicant's reply and evidence where a point is open, and keep closed points read-only.</t>
  </si>
  <si>
    <t>Show each remark as a card: finding, reply field, and evidence upload stacked with equal padding. Visually mute closed points so open points are the ones that stand out.</t>
  </si>
  <si>
    <t>Application audit controls</t>
  </si>
  <si>
    <t>applicationform/applicationauditordetails/:id</t>
  </si>
  <si>
    <t>Show each control with its result and the applicant action. Save a reply without clearing other controls on the same page.</t>
  </si>
  <si>
    <t>Put control text, result, and the reply on one aligned row. Keep the result control a fixed width so the reply field does not jump between rows.</t>
  </si>
  <si>
    <t>Select audit agency</t>
  </si>
  <si>
    <t>applicationform/selectauditagency/:id</t>
  </si>
  <si>
    <t>List only active audit agencies, confirm the selection, and prevent a second selection after one is already submitted.</t>
  </si>
  <si>
    <t>Show agencies as equal-height selectable cards or a clean table with one radio per row. Make the selected row obvious, and place Confirm on the right of the page footer.</t>
  </si>
  <si>
    <t>Payment proof</t>
  </si>
  <si>
    <t>Require payment mode, reference, date, and proof file. Reject a future payment date and show the uploaded proof name after save.</t>
  </si>
  <si>
    <t>Align mode, reference, date, and the proof upload in one grid. Show the chosen file name under the upload control, and keep the date field the same width as the other inputs.</t>
  </si>
  <si>
    <t>Annexure A2 Home</t>
  </si>
  <si>
    <t>Open the annexure shell, show completion status per section, and block final submit until required sections are saved.</t>
  </si>
  <si>
    <t>On the applicant annexure, show the annexure title and a section list as equal rows with a completion mark on the left and the section name on one line. Keep the continue action in a footer.</t>
  </si>
  <si>
    <t>CA Details</t>
  </si>
  <si>
    <t>Validate CA identity fields, licence number format, and required contact details before save.</t>
  </si>
  <si>
    <t>On the applicant annexure, lay identity and contact fields in a two-column grid with labels above the inputs. Keep licence number on its own row so it stays readable.</t>
  </si>
  <si>
    <t>CA Service Details</t>
  </si>
  <si>
    <t>Keep selected services in sync with the licence, and stop empty or duplicate service rows.</t>
  </si>
  <si>
    <t>On the applicant annexure, show services as aligned rows with the service name and a remove action on the same baseline. Place Add service at the left of the section footer.</t>
  </si>
  <si>
    <t>CA Self Assessment</t>
  </si>
  <si>
    <t>Require an answer for every assessment point and keep remarks mandatory when the answer is negative.</t>
  </si>
  <si>
    <t>On the applicant annexure, give every assessment point the same row height, with the answer control in a fixed column and the remark box full width under a negative answer.</t>
  </si>
  <si>
    <t>Data Centre Details</t>
  </si>
  <si>
    <t>Validate site address, city, and capacity fields, and allow more than one centre without losing earlier rows.</t>
  </si>
  <si>
    <t>On the applicant annexure, show each centre as a card with the address grid inside. Keep Add centre outside the cards so it does not move when a card grows.</t>
  </si>
  <si>
    <t>Trusted Persons List</t>
  </si>
  <si>
    <t>Validate person name, role, and identity fields, and prevent a blank row from being saved.</t>
  </si>
  <si>
    <t>On the applicant annexure, show people in a table or equal cards with name, role, and identity in fixed columns. Keep add and remove actions aligned.</t>
  </si>
  <si>
    <t>ASP Details</t>
  </si>
  <si>
    <t>Validate ASP name and agreement dates, and reject an end date that falls before the start date.</t>
  </si>
  <si>
    <t>On the applicant annexure, align ASP name and the two agreement dates on one grid. Keep the date fields equal width and side by side.</t>
  </si>
  <si>
    <t>Audit Details</t>
  </si>
  <si>
    <t>Capture audit period, agency, and outcome with required fields and a clear save confirmation.</t>
  </si>
  <si>
    <t>On the applicant annexure, group period, agency, and outcome in one card. Place the save confirmation area under the card, not as a floating message over the fields.</t>
  </si>
  <si>
    <t>Internal Audit Details</t>
  </si>
  <si>
    <t>Require auditor name, period, and finding summary, and show a friendly error when save fails.</t>
  </si>
  <si>
    <t>On the applicant annexure, stack auditor, period, and finding summary with the summary full width. Match the field spacing used on Audit Details.</t>
  </si>
  <si>
    <t>eKYC Audit Details</t>
  </si>
  <si>
    <t>Validate mode, volume, and exception counts, and reject non-numeric values in count fields.</t>
  </si>
  <si>
    <t>On the applicant annexure, right-align the count fields and keep mode, volume, and exceptions on one row on a wide screen. Keep labels from colliding with the inputs.</t>
  </si>
  <si>
    <t>eKYC Verification Details</t>
  </si>
  <si>
    <t>Keep verification method and sample size required, and preserve entered values after a validation error.</t>
  </si>
  <si>
    <t>On the applicant annexure, align method and sample size on one row. Keep any error text under its own field so the row above does not jump.</t>
  </si>
  <si>
    <t>Crypto Token Empanelment</t>
  </si>
  <si>
    <t>Validate token provider, approval status, and supporting reference before the section can be marked complete.</t>
  </si>
  <si>
    <t>On the applicant annexure, place provider, approval status, and reference in one card. Show approval status as a dropdown the same height as the text fields.</t>
  </si>
  <si>
    <t>DSC Revocation</t>
  </si>
  <si>
    <t>Require revocation reason and date, and block a future revocation date.</t>
  </si>
  <si>
    <t>On the applicant annexure, align reason and date, with the date field a fixed width. Keep the future-date message directly under the date field.</t>
  </si>
  <si>
    <t>Court Cases</t>
  </si>
  <si>
    <t>Allow a clean 'no cases' path, and require case number, court, and status when cases exist.</t>
  </si>
  <si>
    <t>On the applicant annexure, show a clear no-cases choice, and when cases exist show each case as a row with number, court, and status in columns.</t>
  </si>
  <si>
    <t>Cost of Certificates</t>
  </si>
  <si>
    <t>Validate fee amounts as numbers, keep currency labels consistent, and reject negative values.</t>
  </si>
  <si>
    <t>On the applicant annexure, right-align fee amounts and keep the currency label inside or beside the field at a consistent distance. Give every fee row the same height.</t>
  </si>
  <si>
    <t>Downtime During Audit Period</t>
  </si>
  <si>
    <t>Require start and end of each downtime window, and reject an end time before the start time.</t>
  </si>
  <si>
    <t>On the applicant annexure, show each downtime window as a row with start and end of equal width. Line up Add window under the rows.</t>
  </si>
  <si>
    <t>Public Information on Website</t>
  </si>
  <si>
    <t>Validate the website address and require a status for each published item.</t>
  </si>
  <si>
    <t>On the applicant annexure, align the website field full width, then list each published item with its status control in a fixed column.</t>
  </si>
  <si>
    <t>External Software Connectivity</t>
  </si>
  <si>
    <t>Require system name and connection type, and keep the list editable without dropping unsaved rows on error.</t>
  </si>
  <si>
    <t>On the applicant annexure, show each system as a row with name and connection type. Keep an unsaved row in the same style as a saved row so the list does not jump.</t>
  </si>
  <si>
    <t>RA Audit Details</t>
  </si>
  <si>
    <t>Validate registration authority name, audit period, and result, and show the saved summary on return to the section.</t>
  </si>
  <si>
    <t>On the applicant annexure, align authority name, period, and result on one card, and show the saved summary as a quiet line under the card.</t>
  </si>
  <si>
    <t>Licensee</t>
  </si>
  <si>
    <t>View licence</t>
  </si>
  <si>
    <t>viewlicense</t>
  </si>
  <si>
    <t>Show licence number, validity, services, and the actions still open: renewal, cessation, eSign application, and annual audit.</t>
  </si>
  <si>
    <t>Show licence number, validity, and services in a summary strip at the top. Place renewal, cessation, eSign, and audit actions as equal buttons that wrap cleanly instead of overflowing.</t>
  </si>
  <si>
    <t>Renewal application list</t>
  </si>
  <si>
    <t>renewallicense</t>
  </si>
  <si>
    <t>Show renewal drafts and submitted renewals with status, and open the correct next step from each row.</t>
  </si>
  <si>
    <t>Match the new-application list: title and action on one row, status badge, and row actions aligned to the right. Keep renewal status labels from wrapping inside the badge.</t>
  </si>
  <si>
    <t>Renewal wizard</t>
  </si>
  <si>
    <t>renewallicense/renewallicenses</t>
  </si>
  <si>
    <t>Reuse the new-application step order for the licence type, and prefill fields from the current licence without letting stale draft data overwrite them silently.</t>
  </si>
  <si>
    <t>Reuse the same stepper, step spacing, and bottom button bar as the new-application wizard so the two flows look like one product.</t>
  </si>
  <si>
    <t>Renewal personal and address details</t>
  </si>
  <si>
    <t>Prefill personal and address data, validate edits the same way as a new application, and keep unchanged fields from being marked as missing.</t>
  </si>
  <si>
    <t>Use the same two-column grid as personal and address on a new application. Show prefilled values in the same input style, and keep edited and untouched fields visually identical.</t>
  </si>
  <si>
    <t>Renewal financial and additional details</t>
  </si>
  <si>
    <t>Require the latest financial period and additional answers. Keep renewal-only fields visible and new-application-only fields hidden.</t>
  </si>
  <si>
    <t>Keep amount fields right-aligned and questions evenly spaced. Hide renewal-only blocks with the same card style as the rest of the step, not a different form.</t>
  </si>
  <si>
    <t>Renewal firm, tax, partner, and representative</t>
  </si>
  <si>
    <t>Show firm, income-tax, partner, and representative steps only for the matching licence type, with the same validation as the new application.</t>
  </si>
  <si>
    <t>Split firm, tax, partner, and representative into stacked sections with matching headings and field grids. Keep upload rows aligned across those sections.</t>
  </si>
  <si>
    <t>Renewal organization, location, and CPS</t>
  </si>
  <si>
    <t>Require current facility locations and the latest CPS documents. Allow replacement of an existing document and keep the previous file until the new one is saved.</t>
  </si>
  <si>
    <t>Use one heading per section and the same document-row layout as the new-application CPS step. Show the current file and the replace action on the same line.</t>
  </si>
  <si>
    <t>Renewal declaration and preview</t>
  </si>
  <si>
    <t>Use the declaration that matches the licence type, show a full preview, and submit with a renewal-specific success message.</t>
  </si>
  <si>
    <t>Lay the declaration and the preview out as separate full-width sections. Keep the preview values in a two-column read-only grid and the submit button on the bottom right.</t>
  </si>
  <si>
    <t>Renewal audit-agency selection</t>
  </si>
  <si>
    <t>agencyselection/selectauditagency/:id</t>
  </si>
  <si>
    <t>Let the licensee pick an audit agency for renewal only while the application is in the selection stage.</t>
  </si>
  <si>
    <t>Use the same agency card or table layout as the new-application selection screen. Show the renewal context in the page title so the screen is identifiable at a glance.</t>
  </si>
  <si>
    <t>Renewal non-compliance reply</t>
  </si>
  <si>
    <t>renewallicense/auditordetails/:id</t>
  </si>
  <si>
    <t>Show renewal audit remarks and require a reply and evidence for each open point.</t>
  </si>
  <si>
    <t>Repeat the open-point card layout from the new-application non-compliance screen. Keep evidence file names on one line and closed points visually quieter.</t>
  </si>
  <si>
    <t>Renewal audit controls</t>
  </si>
  <si>
    <t>renewallicense/applicationauditordetails/:id</t>
  </si>
  <si>
    <t>Save control-wise replies for the renewal audit without mixing them with the original licence audit.</t>
  </si>
  <si>
    <t>Align control, result, and reply in columns with a fixed result width. Match the spacing used on the original audit-control screen.</t>
  </si>
  <si>
    <t>renewallicense/selectauditagency/:id</t>
  </si>
  <si>
    <t>On the licensee annexure, show the annexure title and a section list as equal rows with a completion mark on the left and the section name on one line. Keep the continue action in a footer.</t>
  </si>
  <si>
    <t>On the licensee annexure, lay identity and contact fields in a two-column grid with labels above the inputs. Keep licence number on its own row so it stays readable.</t>
  </si>
  <si>
    <t>On the licensee annexure, show services as aligned rows with the service name and a remove action on the same baseline. Place Add service at the left of the section footer.</t>
  </si>
  <si>
    <t>On the licensee annexure, give every assessment point the same row height, with the answer control in a fixed column and the remark box full width under a negative answer.</t>
  </si>
  <si>
    <t>On the licensee annexure, show each centre as a card with the address grid inside. Keep Add centre outside the cards so it does not move when a card grows.</t>
  </si>
  <si>
    <t>On the licensee annexure, show people in a table or equal cards with name, role, and identity in fixed columns. Keep add and remove actions aligned.</t>
  </si>
  <si>
    <t>On the licensee annexure, align ASP name and the two agreement dates on one grid. Keep the date fields equal width and side by side.</t>
  </si>
  <si>
    <t>On the licensee annexure, group period, agency, and outcome in one card. Place the save confirmation area under the card, not as a floating message over the fields.</t>
  </si>
  <si>
    <t>On the licensee annexure, stack auditor, period, and finding summary with the summary full width. Match the field spacing used on Audit Details.</t>
  </si>
  <si>
    <t>On the licensee annexure, right-align the count fields and keep mode, volume, and exceptions on one row on a wide screen. Keep labels from colliding with the inputs.</t>
  </si>
  <si>
    <t>On the licensee annexure, align method and sample size on one row. Keep any error text under its own field so the row above does not jump.</t>
  </si>
  <si>
    <t>On the licensee annexure, place provider, approval status, and reference in one card. Show approval status as a dropdown the same height as the text fields.</t>
  </si>
  <si>
    <t>On the licensee annexure, align reason and date, with the date field a fixed width. Keep the future-date message directly under the date field.</t>
  </si>
  <si>
    <t>On the licensee annexure, show a clear no-cases choice, and when cases exist show each case as a row with number, court, and status in columns.</t>
  </si>
  <si>
    <t>On the licensee annexure, right-align fee amounts and keep the currency label inside or beside the field at a consistent distance. Give every fee row the same height.</t>
  </si>
  <si>
    <t>On the licensee annexure, show each downtime window as a row with start and end of equal width. Line up Add window under the rows.</t>
  </si>
  <si>
    <t>On the licensee annexure, align the website field full width, then list each published item with its status control in a fixed column.</t>
  </si>
  <si>
    <t>On the licensee annexure, show each system as a row with name and connection type. Keep an unsaved row in the same style as a saved row so the list does not jump.</t>
  </si>
  <si>
    <t>On the licensee annexure, align authority name, period, and result on one card, and show the saved summary as a quiet line under the card.</t>
  </si>
  <si>
    <t>Annual audit agency selection</t>
  </si>
  <si>
    <t>agencyselection</t>
  </si>
  <si>
    <t>List licences due for annual audit, start agency selection, and show the audit window from the annual-audit schedule.</t>
  </si>
  <si>
    <t>Show the licence, the audit window, and the agency choice in three clear bands. Highlight the due window so the dates are readable without opening another page.</t>
  </si>
  <si>
    <t>Upload annual non-compliance</t>
  </si>
  <si>
    <t>annualncaudits</t>
  </si>
  <si>
    <t>Open only audits that are waiting for the licensee's response, and list each open finding.</t>
  </si>
  <si>
    <t>List open findings in a table with finding, status, and action aligned. Use a status badge and keep the page title and filter on one row.</t>
  </si>
  <si>
    <t>Annual non-compliance controls</t>
  </si>
  <si>
    <t>annualncaudits/uploadnccontrols/:id</t>
  </si>
  <si>
    <t>Require a corrective action and evidence for every open annual-audit control, and keep closed controls read-only.</t>
  </si>
  <si>
    <t>Give each control a card with the finding, the corrective-action field, and the evidence upload in a fixed order. Mute closed controls with a lighter background.</t>
  </si>
  <si>
    <t>Cessation checklist</t>
  </si>
  <si>
    <t>viewlicense/licensecessationchecklist/:id</t>
  </si>
  <si>
    <t>Start cessation only for an active licence. Require each checklist point and the notice document before submit.</t>
  </si>
  <si>
    <t>Show checklist points in one column with centered checkboxes. Place the notice upload in its own bordered area under the list, with the file name beside the button.</t>
  </si>
  <si>
    <t>Edit cessation checklist</t>
  </si>
  <si>
    <t>viewlicense/editlicensecessationchecklist/:id</t>
  </si>
  <si>
    <t>Allow edits only while cessation is returned or still draft. Keep already approved notices read-only.</t>
  </si>
  <si>
    <t>Keep the same checklist layout as the first cessation screen. Show locked points as read-only text and editable points as inputs so the difference is visible.</t>
  </si>
  <si>
    <t>eSign application</t>
  </si>
  <si>
    <t>viewlicense/espapplication</t>
  </si>
  <si>
    <t>Walk through both eSign application steps, validate API and document choices against masters, and show a preview before submit.</t>
  </si>
  <si>
    <t>Show the two eSign steps in a short stepper. Keep API, document, and version choices in an aligned grid with dropdowns of equal height.</t>
  </si>
  <si>
    <t>eSign previous-application preview</t>
  </si>
  <si>
    <t>Show the last reviewed eSign application as read-only so the licensee can see what was approved, rejected, or expired.</t>
  </si>
  <si>
    <t>Present the previous eSign file as read-only sections with a status banner at the top. Use the same label-and-value grid as the other previews.</t>
  </si>
  <si>
    <t>Licensee dashboard</t>
  </si>
  <si>
    <t>licenseedashboard</t>
  </si>
  <si>
    <t>Show licence status, renewal due, open audits, and open applications with links that land on the right list.</t>
  </si>
  <si>
    <t>Lay status, renewal, audit, and application counts as equal cards in one grid. Make each card a clear link, and keep titles from wrapping to different heights.</t>
  </si>
  <si>
    <t>Issued DSC</t>
  </si>
  <si>
    <t>licenseedashboard/ldscissued</t>
  </si>
  <si>
    <t>List DSC issued by this licensee with period filters and an empty state when no rows match.</t>
  </si>
  <si>
    <t>Align the period filter with the page title. Keep the results table full width, with numeric columns right-aligned and an empty state centered in the table body.</t>
  </si>
  <si>
    <t>Issued eSign</t>
  </si>
  <si>
    <t>licenseedashboard/lesignissued</t>
  </si>
  <si>
    <t>List eSign transactions issued by this licensee with the same period filter behaviour as DSC.</t>
  </si>
  <si>
    <t>Match the issued-DSC screen: same filter bar, table header, numeric alignment, and empty state.</t>
  </si>
  <si>
    <t>ASP list</t>
  </si>
  <si>
    <t>licenseedashboard/lasplist</t>
  </si>
  <si>
    <t>Show ASPs linked to the licence and keep add or edit entry points only where the role is allowed to change them.</t>
  </si>
  <si>
    <t>Place search and the add action on one row above a full-width table. Keep status and row actions in fixed columns.</t>
  </si>
  <si>
    <t>Office of CCA</t>
  </si>
  <si>
    <t>CCA Officer</t>
  </si>
  <si>
    <t>Payment verification list</t>
  </si>
  <si>
    <t>paymentverification</t>
  </si>
  <si>
    <t>List payments waiting for verification with applicant, amount, mode, and date. Separate pending, accepted, and rejected rows.</t>
  </si>
  <si>
    <t>Align filters and the page title on one row. Show pending, accepted, and rejected as color badges of equal width, and keep the amount column right-aligned.</t>
  </si>
  <si>
    <t>Payment proof review</t>
  </si>
  <si>
    <t>paymentverification/paymentProofs/:id</t>
  </si>
  <si>
    <t>Open the proof file, record accept or reject with a mandatory remark on reject, and refresh the list status after save.</t>
  </si>
  <si>
    <t>Put applicant details and the proof preview side by side on a wide screen, stacked on a narrow one. Place accept and reject as a button pair, with the remark field full width under them.</t>
  </si>
  <si>
    <t>New application queue</t>
  </si>
  <si>
    <t>newapplicationlist</t>
  </si>
  <si>
    <t>List new licence applications assigned to the office, with status filters and a view action that opens the matching applicant type.</t>
  </si>
  <si>
    <t>Match the other office queues: title, status filter, and table on one grid. Keep applicant type and status as badges so rows scan in a straight line.</t>
  </si>
  <si>
    <t>Renewal application queue</t>
  </si>
  <si>
    <t>renewalapplicationlist</t>
  </si>
  <si>
    <t>List renewal applications separately from new applications, with the renewal status and the same view action.</t>
  </si>
  <si>
    <t>Use the same queue layout as the new-application list, with renewal status in the same badge position.</t>
  </si>
  <si>
    <t>Cessation applications</t>
  </si>
  <si>
    <t>cessationapplication</t>
  </si>
  <si>
    <t>List cessation requests with licence number and notice status, and open the notice only when a file exists.</t>
  </si>
  <si>
    <t>Show licence number, notice status, and the open action in stable columns. Use a badge for notice status and keep the file action from wrapping.</t>
  </si>
  <si>
    <t>Cessation notice</t>
  </si>
  <si>
    <t>cessationapplication/viewdetails/:id</t>
  </si>
  <si>
    <t>Show the notice file and checklist. Record the office decision with a remark and keep the file view working for pdf and image uploads.</t>
  </si>
  <si>
    <t>Give the notice file a fixed preview pane and the checklist a column beside it. Put the decision buttons and the remark on a footer that stays visible.</t>
  </si>
  <si>
    <t>Cessation undertaking queue</t>
  </si>
  <si>
    <t>approvaundertaking</t>
  </si>
  <si>
    <t>List undertakings waiting for the office review and show which licence they belong to.</t>
  </si>
  <si>
    <t>Use the same list header, badge, and action column as the cessation application queue.</t>
  </si>
  <si>
    <t>Approve cessation undertaking</t>
  </si>
  <si>
    <t>approvaundertaking/approveundertaking/:id</t>
  </si>
  <si>
    <t>Require a decision and remark. After approval, move the request forward so it no longer appears as pending.</t>
  </si>
  <si>
    <t>Show the undertaking text in a readable block and the decision controls in a separate card below it. Keep the remark full width.</t>
  </si>
  <si>
    <t>All cessation cases</t>
  </si>
  <si>
    <t>allcessationapplicationccaofficer</t>
  </si>
  <si>
    <t>Show the full cessation history for the office, including approved and rejected cases, in read-only form.</t>
  </si>
  <si>
    <t>Show the history table with status badges and no row edit icons. Keep date columns one width so the list does not shift.</t>
  </si>
  <si>
    <t>Cessation case view</t>
  </si>
  <si>
    <t>allcessationapplicationccaofficer/viewallcessationdataccaofficer/:id</t>
  </si>
  <si>
    <t>Open one historical cessation with checklist, notice, and the decision already taken.</t>
  </si>
  <si>
    <t>Stack checklist, notice, and decision as three sections with the same heading style. Show the decision in a summary bar at the top.</t>
  </si>
  <si>
    <t>Annual audit schedule</t>
  </si>
  <si>
    <t>annualaudit</t>
  </si>
  <si>
    <t>Show each licence's annual-audit window, start date, and current stage. Keep the schedule calculation consistent with the shared annual-audit helper.</t>
  </si>
  <si>
    <t>Show the audit window as a readable date range in its own column. Use color only for overdue rows, and keep stage as a badge aligned across the table.</t>
  </si>
  <si>
    <t>eSign applications under review</t>
  </si>
  <si>
    <t>espreviewapp</t>
  </si>
  <si>
    <t>List eSign applications waiting for office review and open the detail page for the selected application.</t>
  </si>
  <si>
    <t>Use the office queue layout: title, filter, status badge, and a single view action at the right.</t>
  </si>
  <si>
    <t>eSign application detail</t>
  </si>
  <si>
    <t>espreviewapp/viewdetails/:id</t>
  </si>
  <si>
    <t>Show both eSign steps as read-only, and capture the office recommendation without editing the licensee's answers.</t>
  </si>
  <si>
    <t>Show both eSign steps as read-only sections under a status banner. Place the recommendation remark and buttons in a card at the bottom, separate from the licensee's answers.</t>
  </si>
  <si>
    <t>Review committee</t>
  </si>
  <si>
    <t>newapplication</t>
  </si>
  <si>
    <t>List new applications ready for committee review, with applicant type and current stage.</t>
  </si>
  <si>
    <t>Use a queue table with applicant, type, and stage in fixed columns. Keep the stage badge one width so the view action stays in a straight column.</t>
  </si>
  <si>
    <t>Individual application review</t>
  </si>
  <si>
    <t>newapplication/reviewapplication/:id</t>
  </si>
  <si>
    <t>Show the individual application read-only, including documents, and record the committee remark against the application.</t>
  </si>
  <si>
    <t>Lay the individual file out in the same section order as the applicant form, read-only, in a two-column value grid. Pin the committee remark and action to the bottom card.</t>
  </si>
  <si>
    <t>Firm application review</t>
  </si>
  <si>
    <t>newapplication/reviewapplications/:id</t>
  </si>
  <si>
    <t>Show firm or partnership details, partners, and documents with the same labels as the applicant form.</t>
  </si>
  <si>
    <t>Show firm, partner, and document blocks as separate headed sections. Keep partner rows in a compact table so the page does not become a long uneven form.</t>
  </si>
  <si>
    <t>Government application review</t>
  </si>
  <si>
    <t>newapplication/reviewapplicationes/:id</t>
  </si>
  <si>
    <t>Show government organization details and documents, and keep fields that do not apply to government hidden.</t>
  </si>
  <si>
    <t>Show only the government sections, with organization and documents in headed cards. Align the remark box with the other review screens.</t>
  </si>
  <si>
    <t>Pre-licence non-compliance</t>
  </si>
  <si>
    <t>ncreport</t>
  </si>
  <si>
    <t>List audits returned with non-compliance for committee review.</t>
  </si>
  <si>
    <t>List cases with applicant, stage, and a status badge. Keep the open action in a fixed right-hand column.</t>
  </si>
  <si>
    <t>Non-compliance controls</t>
  </si>
  <si>
    <t>ncreport/ncreportbyid/:id</t>
  </si>
  <si>
    <t>Show each control, the auditor finding, and the applicant reply. Keep the committee view read-only except for the committee remark.</t>
  </si>
  <si>
    <t>Show finding, applicant reply, and evidence in a three-part card. Place the committee remark full width under the card, not beside a narrow column.</t>
  </si>
  <si>
    <t>Renewal review queue</t>
  </si>
  <si>
    <t>renewapplication</t>
  </si>
  <si>
    <t>List renewal applications waiting for the committee, separate from new applications.</t>
  </si>
  <si>
    <t>Match the new-application queue layout and badge placement so the two lists look the same.</t>
  </si>
  <si>
    <t>Renewal individual review</t>
  </si>
  <si>
    <t>renewapplication/reviewapplication/:id</t>
  </si>
  <si>
    <t>Show the renewal individual file read-only and keep it distinct from the original licence application.</t>
  </si>
  <si>
    <t>Use the same read-only section grid as the individual review, with a renewal label in the page title.</t>
  </si>
  <si>
    <t>Renewal firm review</t>
  </si>
  <si>
    <t>renewapplication/reviewapplications/:id</t>
  </si>
  <si>
    <t>Show renewed firm, partner, and document data as submitted in the renewal, not the first licence file.</t>
  </si>
  <si>
    <t>Use the same firm, partner, and document sections as the firm review. Keep tables from stretching wider than the page.</t>
  </si>
  <si>
    <t>Renewal government review</t>
  </si>
  <si>
    <t>renewapplication/reviewapplicationes/:id</t>
  </si>
  <si>
    <t>Show the renewed government file read-only with organization and CPS documents.</t>
  </si>
  <si>
    <t>Use the same government read-only cards and bottom remark box as the new-application government review.</t>
  </si>
  <si>
    <t>Annual non-compliance queue</t>
  </si>
  <si>
    <t>reviewannualncreport</t>
  </si>
  <si>
    <t>List annual-audit non-compliance files waiting for the committee.</t>
  </si>
  <si>
    <t>Show licence, agency, and closure state in a table with a status badge and one review action.</t>
  </si>
  <si>
    <t>Annual non-compliance review</t>
  </si>
  <si>
    <t>reviewannualncreport/reviewannualncreports/:id</t>
  </si>
  <si>
    <t>Show the annual-audit finding, licensee reply, and closure status for each control.</t>
  </si>
  <si>
    <t>Stack finding, licensee reply, and closure state in equal cards. Show closure as a badge at the top of each card.</t>
  </si>
  <si>
    <t>CCA</t>
  </si>
  <si>
    <t>Recommended new applications</t>
  </si>
  <si>
    <t>recommendednewapp</t>
  </si>
  <si>
    <t>List new applications recommended to CCA, with applicant, type, and recommendation date.</t>
  </si>
  <si>
    <t>Show applicant, type, and recommendation date in fixed columns with a type badge. Keep the open action aligned on the right.</t>
  </si>
  <si>
    <t>Recommended renewal applications</t>
  </si>
  <si>
    <t>recommendedrenewalapp</t>
  </si>
  <si>
    <t>List renewal recommendations separately, with the current licence number visible.</t>
  </si>
  <si>
    <t>Match the recommended-new list, and give the current licence number its own column so it does not wrap under the applicant name.</t>
  </si>
  <si>
    <t>Issue new licence</t>
  </si>
  <si>
    <t>issuenewlicense</t>
  </si>
  <si>
    <t>Issue a licence only from an approved recommendation. Capture licence number and validity, then show the issued licence in the licensee view.</t>
  </si>
  <si>
    <t>Group licence number and validity in a short form card under a read-only application summary. Place Issue on the right and keep the summary from colliding with the form.</t>
  </si>
  <si>
    <t>Approve application</t>
  </si>
  <si>
    <t>approvedreviewapplication</t>
  </si>
  <si>
    <t>Open applications approved for issue and link each row to the individual, firm, or government view.</t>
  </si>
  <si>
    <t>Use the same recommendation-list layout, with applicant type as a badge and one view action per row.</t>
  </si>
  <si>
    <t>Approved individual view</t>
  </si>
  <si>
    <t>approvedreviewapplication/indivreviewapplication/:id</t>
  </si>
  <si>
    <t>Show the approved individual file read-only, including payment and documents used for the decision.</t>
  </si>
  <si>
    <t>Show a decision banner, then the individual file in a two-column read-only grid. Keep document links on one line.</t>
  </si>
  <si>
    <t>Approved firm view</t>
  </si>
  <si>
    <t>approvedreviewapplication/firmreviewapplication/:id</t>
  </si>
  <si>
    <t>Show the approved firm file read-only with partners and declarations.</t>
  </si>
  <si>
    <t>Use a decision banner and headed sections for firm, partners, and declaration. Keep partner details in a table.</t>
  </si>
  <si>
    <t>Approved government view</t>
  </si>
  <si>
    <t>approvedreviewapplication/govreviewapplication/:id</t>
  </si>
  <si>
    <t>Show the approved government file read-only with organization and CPS documents.</t>
  </si>
  <si>
    <t>Use a decision banner and headed cards for organization and CPS documents. Align the document list as rows.</t>
  </si>
  <si>
    <t>Rejected new-application review</t>
  </si>
  <si>
    <t>rejectedreviewapplication</t>
  </si>
  <si>
    <t>List applications recommended for rejection and open the matching applicant-type view.</t>
  </si>
  <si>
    <t>Match the recommended-list layout and add a clear path to the individual, firm, or government view.</t>
  </si>
  <si>
    <t>Rejected individual view</t>
  </si>
  <si>
    <t>rejectedreviewapplication/indivreviewapplication/:id</t>
  </si>
  <si>
    <t>Show the individual file and require a rejection remark before the decision is saved.</t>
  </si>
  <si>
    <t>Show the individual file read-only and a separate decision card for the rejection remark. Make the remark full width and the confirm button right-aligned.</t>
  </si>
  <si>
    <t>Rejected firm view</t>
  </si>
  <si>
    <t>rejectedreviewapplication/firmreviewapplication/:id</t>
  </si>
  <si>
    <t>Show the firm file and save the rejection remark against that application only.</t>
  </si>
  <si>
    <t>Use the same split: firm file above, decision card below. Keep the remark from sitting in a narrow side column.</t>
  </si>
  <si>
    <t>Rejected government view</t>
  </si>
  <si>
    <t>rejectedreviewapplication/govreviewapplication/:id</t>
  </si>
  <si>
    <t>Show the government file and save the rejection remark with the decision.</t>
  </si>
  <si>
    <t>Use the same file-plus-decision-card layout as the other rejection views.</t>
  </si>
  <si>
    <t>Renewal approval review</t>
  </si>
  <si>
    <t>renewapprovedapplication</t>
  </si>
  <si>
    <t>List renewals recommended for approval and open the renewal file, not the original application.</t>
  </si>
  <si>
    <t>Match the approval queue layout and show the licence number in its own column.</t>
  </si>
  <si>
    <t>Renewal rejection review</t>
  </si>
  <si>
    <t>renewrejectedapplication</t>
  </si>
  <si>
    <t>List renewals recommended for rejection and require a remark on the individual, firm, or government renewal view.</t>
  </si>
  <si>
    <t>Match the rejection queue layout, with type badges and a single open action.</t>
  </si>
  <si>
    <t>Audit of licence</t>
  </si>
  <si>
    <t>auditorlicense</t>
  </si>
  <si>
    <t>List licence audits waiting for CCA, with agency, period, and stage.</t>
  </si>
  <si>
    <t>Show agency, period, and stage in fixed columns. Use a stage badge and keep the period on one line.</t>
  </si>
  <si>
    <t>Audit detail</t>
  </si>
  <si>
    <t>auditorlicense/auditordetails/:id</t>
  </si>
  <si>
    <t>Show auditor controls and findings read-only, with a path to send the case back or reject.</t>
  </si>
  <si>
    <t>Show controls and findings in a readable table, with result as a badge. Place the send-back and reject actions in a footer, not inside the table.</t>
  </si>
  <si>
    <t>Send audit to rejection</t>
  </si>
  <si>
    <t>auditorlicense/sendToRejection/:id</t>
  </si>
  <si>
    <t>Require a rejection reason, confirm the action, and remove the case from the pending audit list after save.</t>
  </si>
  <si>
    <t>Keep the reason field full width in a single card, with Cancel and Confirm as a right-aligned pair. Show the case identity in a summary line above the field.</t>
  </si>
  <si>
    <t>Annual audit list</t>
  </si>
  <si>
    <t>uploadannualundertakings</t>
  </si>
  <si>
    <t>List annual audits submitted to CCA and show whether each one is on time against the schedule.</t>
  </si>
  <si>
    <t>Add an on-time or late badge in a fixed column beside the due date. Keep the rest of the row on the same list style as the other CCA queues.</t>
  </si>
  <si>
    <t>Annual audit report</t>
  </si>
  <si>
    <t>uploadannualundertakings/annualauditreports/:id</t>
  </si>
  <si>
    <t>Open the annual audit report, findings, and annexure summary in read-only form.</t>
  </si>
  <si>
    <t>Show the report header, findings, and annexure summary as three stacked sections. Keep the report file link in the header, not buried in the findings.</t>
  </si>
  <si>
    <t>Cessation for CCA</t>
  </si>
  <si>
    <t>cessationapplicationforcca</t>
  </si>
  <si>
    <t>List cessation files forwarded to CCA.</t>
  </si>
  <si>
    <t>Use the CCA queue pattern: licence, status badge, and one open action.</t>
  </si>
  <si>
    <t>Cessation undertaking view</t>
  </si>
  <si>
    <t>cessationapplicationforcca/editlicensecessationchecklist/:id</t>
  </si>
  <si>
    <t>Show the cessation checklist and notice, and record CCA's decision.</t>
  </si>
  <si>
    <t>Show the checklist and notice in two panes, with the decision card underneath spanning both.</t>
  </si>
  <si>
    <t>Approve cessation</t>
  </si>
  <si>
    <t>approvalcessationapplication</t>
  </si>
  <si>
    <t>List cessations ready for final approval.</t>
  </si>
  <si>
    <t>Match the cessation queue spacing, badges, and action column.</t>
  </si>
  <si>
    <t>Cessation approval detail</t>
  </si>
  <si>
    <t>approvalcessationapplication/approvechecklist/:id</t>
  </si>
  <si>
    <t>Confirm final approval with a remark and update the licence status so the licensee no longer sees it as active.</t>
  </si>
  <si>
    <t>Put the licence summary at the top, the checklist in the middle, and the final remark plus buttons in a bottom card.</t>
  </si>
  <si>
    <t>All CCA cessation cases</t>
  </si>
  <si>
    <t>allcessationapplicationcca</t>
  </si>
  <si>
    <t>Show historical cessation decisions for reference.</t>
  </si>
  <si>
    <t>Show a read-only history table with status badges and even date columns.</t>
  </si>
  <si>
    <t>Cessation history view</t>
  </si>
  <si>
    <t>allcessationapplicationcca/viewallcessationdatacca/:id</t>
  </si>
  <si>
    <t>Open one past cessation with the notice, checklist, and final decision.</t>
  </si>
  <si>
    <t>Use the same three-section layout as the office cessation view: notice, checklist, and decision.</t>
  </si>
  <si>
    <t>eSign recommended for rejection</t>
  </si>
  <si>
    <t>esprejectionapp</t>
  </si>
  <si>
    <t>List eSign applications recommended for rejection.</t>
  </si>
  <si>
    <t>Use the eSign queue layout with a recommendation badge and one detail action.</t>
  </si>
  <si>
    <t>eSign rejection detail</t>
  </si>
  <si>
    <t>esprejectionapp/viewdetails/:id</t>
  </si>
  <si>
    <t>Show the eSign file and require a decision remark before rejection is confirmed.</t>
  </si>
  <si>
    <t>Show the eSign file read-only under a status banner, and the decision remark in a separate bottom card.</t>
  </si>
  <si>
    <t>eSign recommended for go-live</t>
  </si>
  <si>
    <t>espapprecommended</t>
  </si>
  <si>
    <t>List eSign applications recommended to go live.</t>
  </si>
  <si>
    <t>Match the rejection queue, with a go-live badge in the same column.</t>
  </si>
  <si>
    <t>eSign go-live detail</t>
  </si>
  <si>
    <t>espapprecommended/viewrecommended/:id</t>
  </si>
  <si>
    <t>Show the recommended eSign application and record the go-live decision.</t>
  </si>
  <si>
    <t>Use the same banner, read-only sections, and bottom decision card as the rejection detail.</t>
  </si>
  <si>
    <t>Rejected eSign applications</t>
  </si>
  <si>
    <t>espappcrejected</t>
  </si>
  <si>
    <t>List eSign applications already rejected, with the decision date.</t>
  </si>
  <si>
    <t>Show a read-only list with the decision date in its own column and a status badge.</t>
  </si>
  <si>
    <t>Rejected eSign detail</t>
  </si>
  <si>
    <t>espappcrejected/viewcprevappdetails/:id</t>
  </si>
  <si>
    <t>Open a rejected eSign file read-only, including the earlier review remarks.</t>
  </si>
  <si>
    <t>Open with a rejected banner, then the earlier review remarks in a quoted block above the read-only application.</t>
  </si>
  <si>
    <t>Expired eSign applications</t>
  </si>
  <si>
    <t>espappcexpired</t>
  </si>
  <si>
    <t>List eSign approvals that have expired.</t>
  </si>
  <si>
    <t>Match the rejected-list layout and use an expired badge.</t>
  </si>
  <si>
    <t>Expired eSign detail</t>
  </si>
  <si>
    <t>espappcexpired/viewcprevappdetails/:id</t>
  </si>
  <si>
    <t>Open an expired eSign file read-only.</t>
  </si>
  <si>
    <t>Use an expired banner and the same read-only section grid as the other eSign detail pages.</t>
  </si>
  <si>
    <t>Approved eSign applications</t>
  </si>
  <si>
    <t>espappcapproved</t>
  </si>
  <si>
    <t>List eSign applications approved for go-live.</t>
  </si>
  <si>
    <t>Match the eSign history lists, with an approved badge and the decision date aligned.</t>
  </si>
  <si>
    <t>Approved eSign detail</t>
  </si>
  <si>
    <t>espappcapproved/viewcprevappdetails/:id</t>
  </si>
  <si>
    <t>Open an approved eSign file read-only.</t>
  </si>
  <si>
    <t>Use an approved banner and the same read-only section grid.</t>
  </si>
  <si>
    <t>Audit agency</t>
  </si>
  <si>
    <t>Undertaking queue</t>
  </si>
  <si>
    <t>uploadundertaking</t>
  </si>
  <si>
    <t>List applications assigned to the agency for audit, with applicant, type, and stage.</t>
  </si>
  <si>
    <t>Show applicant, type, and stage as a queue table with badges and a right-aligned open action.</t>
  </si>
  <si>
    <t>Auditor details</t>
  </si>
  <si>
    <t>uploadundertaking/auditordetails/:id</t>
  </si>
  <si>
    <t>Capture auditor name, visit dates, and report reference. Reject a visit end date before the start date.</t>
  </si>
  <si>
    <t>Align auditor name, visit dates, and report reference on one form grid. Keep the two date fields equal width and the report upload on its own full-width row.</t>
  </si>
  <si>
    <t>Auditor controls</t>
  </si>
  <si>
    <t>uploadundertaking/auditorcontrols/:id</t>
  </si>
  <si>
    <t>Score each control, require a remark when the result is non-compliant, and save one control without wiping the others.</t>
  </si>
  <si>
    <t>Make each control a row: text, result, and remark. Give non-compliant rows a visible left border so they stand out from compliant ones.</t>
  </si>
  <si>
    <t>Non-compliance closure</t>
  </si>
  <si>
    <t>uploadundertaking/ncclosurereport/:id</t>
  </si>
  <si>
    <t>Show the applicant's corrective action and let the auditor close or reopen each point with a remark.</t>
  </si>
  <si>
    <t>Show the applicant action and the auditor close or reopen controls in two columns of one card. Keep a remark field full width under them.</t>
  </si>
  <si>
    <t>View annexure</t>
  </si>
  <si>
    <t>uploadundertaking/annexurea/:id</t>
  </si>
  <si>
    <t>Open the applicant's annexure read-only from the audit file, section by section.</t>
  </si>
  <si>
    <t>Show annexure sections as a vertical list of cards with a section title and a completion mark. Keep the open-section action aligned on the right of every card.</t>
  </si>
  <si>
    <t>Pre-licence non-compliance list</t>
  </si>
  <si>
    <t>reviewauditreport</t>
  </si>
  <si>
    <t>List audits sent back after the applicant's reply so the agency can review them again.</t>
  </si>
  <si>
    <t>Use the agency queue layout with applicant, stage, and a status badge.</t>
  </si>
  <si>
    <t>Pre-licence non-compliance review</t>
  </si>
  <si>
    <t>reviewauditreport/reviewreport/:id</t>
  </si>
  <si>
    <t>Compare the original finding with the applicant reply and record the revised result.</t>
  </si>
  <si>
    <t>Place the original finding and the applicant reply side by side, and the revised result full width underneath.</t>
  </si>
  <si>
    <t>On the audit agency annexure, show the annexure title and a section list as equal rows with a completion mark on the left and the section name on one line. Keep the continue action in a footer.</t>
  </si>
  <si>
    <t>On the audit agency annexure, lay identity and contact fields in a two-column grid with labels above the inputs. Keep licence number on its own row so it stays readable.</t>
  </si>
  <si>
    <t>On the audit agency annexure, show services as aligned rows with the service name and a remove action on the same baseline. Place Add service at the left of the section footer.</t>
  </si>
  <si>
    <t>On the audit agency annexure, give every assessment point the same row height, with the answer control in a fixed column and the remark box full width under a negative answer.</t>
  </si>
  <si>
    <t>On the audit agency annexure, show each centre as a card with the address grid inside. Keep Add centre outside the cards so it does not move when a card grows.</t>
  </si>
  <si>
    <t>On the audit agency annexure, show people in a table or equal cards with name, role, and identity in fixed columns. Keep add and remove actions aligned.</t>
  </si>
  <si>
    <t>On the audit agency annexure, align ASP name and the two agreement dates on one grid. Keep the date fields equal width and side by side.</t>
  </si>
  <si>
    <t>On the audit agency annexure, group period, agency, and outcome in one card. Place the save confirmation area under the card, not as a floating message over the fields.</t>
  </si>
  <si>
    <t>On the audit agency annexure, stack auditor, period, and finding summary with the summary full width. Match the field spacing used on Audit Details.</t>
  </si>
  <si>
    <t>On the audit agency annexure, right-align the count fields and keep mode, volume, and exceptions on one row on a wide screen. Keep labels from colliding with the inputs.</t>
  </si>
  <si>
    <t>On the audit agency annexure, align method and sample size on one row. Keep any error text under its own field so the row above does not jump.</t>
  </si>
  <si>
    <t>On the audit agency annexure, place provider, approval status, and reference in one card. Show approval status as a dropdown the same height as the text fields.</t>
  </si>
  <si>
    <t>On the audit agency annexure, align reason and date, with the date field a fixed width. Keep the future-date message directly under the date field.</t>
  </si>
  <si>
    <t>On the audit agency annexure, show a clear no-cases choice, and when cases exist show each case as a row with number, court, and status in columns.</t>
  </si>
  <si>
    <t>On the audit agency annexure, right-align fee amounts and keep the currency label inside or beside the field at a consistent distance. Give every fee row the same height.</t>
  </si>
  <si>
    <t>On the audit agency annexure, show each downtime window as a row with start and end of equal width. Line up Add window under the rows.</t>
  </si>
  <si>
    <t>On the audit agency annexure, align the website field full width, then list each published item with its status control in a fixed column.</t>
  </si>
  <si>
    <t>On the audit agency annexure, show each system as a row with name and connection type. Keep an unsaved row in the same style as a saved row so the list does not jump.</t>
  </si>
  <si>
    <t>On the audit agency annexure, align authority name, period, and result on one card, and show the saved summary as a quiet line under the card.</t>
  </si>
  <si>
    <t>Annual audit queue</t>
  </si>
  <si>
    <t>uploadannualundertaking</t>
  </si>
  <si>
    <t>List annual audits assigned to the agency and show the due window for each licence.</t>
  </si>
  <si>
    <t>Show the due window in its own column and highlight rows that are near or past the end date. Keep the rest of the table on the standard queue layout.</t>
  </si>
  <si>
    <t>Annual audit report entry</t>
  </si>
  <si>
    <t>uploadannualundertaking/annualauditreport/:id</t>
  </si>
  <si>
    <t>Capture annual-audit findings, visit dates inside the allowed window, and the report file.</t>
  </si>
  <si>
    <t>Group visit dates, findings, and the report upload into three stacked cards. Keep the upload row consistent with the other file fields in the agency flow.</t>
  </si>
  <si>
    <t>Annual non-compliance entry</t>
  </si>
  <si>
    <t>annualncaudit</t>
  </si>
  <si>
    <t>List annual audits that still have open non-compliance for the agency to record.</t>
  </si>
  <si>
    <t>List open annual findings with severity as a badge and one entry action. Align the page title and any filter on one row.</t>
  </si>
  <si>
    <t>annualncaudit/uploadnccontrol/:id</t>
  </si>
  <si>
    <t>Record each open annual-audit control with severity and a required remark.</t>
  </si>
  <si>
    <t>Give each control a row with severity, remark, and result aligned. Use a fixed badge width so remarks start at the same horizontal position.</t>
  </si>
  <si>
    <t>Annual closure queue</t>
  </si>
  <si>
    <t>ncreports</t>
  </si>
  <si>
    <t>List licensee replies waiting for the agency to close the annual audit.</t>
  </si>
  <si>
    <t>Show licensee replies waiting for closure in a table with a status badge and one review action.</t>
  </si>
  <si>
    <t>Annual closure review</t>
  </si>
  <si>
    <t>ncreports/nccloserreports/:id</t>
  </si>
  <si>
    <t>Accept or return each corrective action and close the audit only when every control is resolved.</t>
  </si>
  <si>
    <t>Show each corrective action as a card with the evidence link and accept or return as a button pair. Keep unresolved cards visually stronger than resolved ones.</t>
  </si>
  <si>
    <t>Agency non-compliance list</t>
  </si>
  <si>
    <t>auditnclist</t>
  </si>
  <si>
    <t>Show the agency's own list of annual non-compliance cases and their closure state.</t>
  </si>
  <si>
    <t>Use the standard list header, closure badge, and right-aligned view action.</t>
  </si>
  <si>
    <t>Agency non-compliance detail</t>
  </si>
  <si>
    <t>auditnclist/ncclosurereport/:id</t>
  </si>
  <si>
    <t>Open one non-compliance file with the control history and the latest licensee reply.</t>
  </si>
  <si>
    <t>Show the control history as a timeline of cards and the latest reply in a highlighted card at the top.</t>
  </si>
  <si>
    <t>Dashboards</t>
  </si>
  <si>
    <t>CCA dashboard</t>
  </si>
  <si>
    <t>ccadashboard</t>
  </si>
  <si>
    <t>Show counts for registered CAs, DSC issued, eSign issued, and registered ESPs, and make each count open the matching list.</t>
  </si>
  <si>
    <t>Lay the four counts as equal cards in one row. Use one number style and make the whole card the link, with even gaps between cards.</t>
  </si>
  <si>
    <t>Registered CA</t>
  </si>
  <si>
    <t>ccadashboard/registeredca</t>
  </si>
  <si>
    <t>List registered certifying authorities with licence status and a working search.</t>
  </si>
  <si>
    <t>Put search on the same row as the title. Keep licence status as a badge and stop long authority names from stretching the row height unevenly.</t>
  </si>
  <si>
    <t>eSign issued</t>
  </si>
  <si>
    <t>ccadashboard/esignissued</t>
  </si>
  <si>
    <t>List eSign volumes with a period filter and a clear empty state.</t>
  </si>
  <si>
    <t>Align the period filter, table header, and right-aligned counts. Center the empty state in the table body.</t>
  </si>
  <si>
    <t>DSC issued</t>
  </si>
  <si>
    <t>ccadashboard/dscissued</t>
  </si>
  <si>
    <t>List DSC volumes with the same period filter as eSign.</t>
  </si>
  <si>
    <t>Match the eSign-issued screen: same filter bar, table, and numeric alignment.</t>
  </si>
  <si>
    <t>Registered ESP</t>
  </si>
  <si>
    <t>ccadashboard/registeredesp</t>
  </si>
  <si>
    <t>List registered eSign providers and their approval status.</t>
  </si>
  <si>
    <t>Show provider and approval status in a simple table with a status badge and consistent row height.</t>
  </si>
  <si>
    <t>CCA Officer dashboard</t>
  </si>
  <si>
    <t>ccaofficerdashboard</t>
  </si>
  <si>
    <t>Show the same four headline counts for the office role and link them to the office lists.</t>
  </si>
  <si>
    <t>Use the same four-card grid and number style as the CCA dashboard.</t>
  </si>
  <si>
    <t>Admin</t>
  </si>
  <si>
    <t>Admin dashboard</t>
  </si>
  <si>
    <t>admindashboard</t>
  </si>
  <si>
    <t>Show admin headline counts and keep links inside the admin menu.</t>
  </si>
  <si>
    <t>Use the same card grid, with links that fit the admin page width and titles that stay on one line.</t>
  </si>
  <si>
    <t>Operations data</t>
  </si>
  <si>
    <t>DSC and eSign issued entry</t>
  </si>
  <si>
    <t>dscesignissued</t>
  </si>
  <si>
    <t>List monthly DSC and eSign figures for the licensee and show which periods are still editable.</t>
  </si>
  <si>
    <t>Show the period and the counts in a table with editable rows visually distinct from locked rows. Place Add on the right of the title row.</t>
  </si>
  <si>
    <t>Add DSC and eSign figures</t>
  </si>
  <si>
    <t>dscesignissued/adddscesignissued</t>
  </si>
  <si>
    <t>Require the reporting period and numeric counts. Reject duplicate periods and negative numbers.</t>
  </si>
  <si>
    <t>Align period and count fields in one short form. Right-align the count inputs and place Save and Cancel on one footer row.</t>
  </si>
  <si>
    <t>Edit DSC and eSign figures</t>
  </si>
  <si>
    <t>dscesignissued/editdscesignissued/:id</t>
  </si>
  <si>
    <t>Load the saved period, allow correction of counts, and block edits after the period is locked.</t>
  </si>
  <si>
    <t>Use the same form layout as add. Show a locked period as read-only text instead of a disabled field that looks like an error.</t>
  </si>
  <si>
    <t>ASP register</t>
  </si>
  <si>
    <t>asplist</t>
  </si>
  <si>
    <t>List ASPs with status and a search by name.</t>
  </si>
  <si>
    <t>Match the ASP list: search and add on one row, status badge, and even row actions.</t>
  </si>
  <si>
    <t>Add ASP</t>
  </si>
  <si>
    <t>asplist/addasp</t>
  </si>
  <si>
    <t>Validate ASP name, contact, and agreement dates before save.</t>
  </si>
  <si>
    <t>Stack name, contact, and agreement dates in one card with equal field widths. Keep the two date fields side by side.</t>
  </si>
  <si>
    <t>Edit ASP</t>
  </si>
  <si>
    <t>asplist/editasp/:id</t>
  </si>
  <si>
    <t>Load the ASP record and apply the same validation as add.</t>
  </si>
  <si>
    <t>Use the same card and field grid as add so the two screens match.</t>
  </si>
  <si>
    <t>Reports</t>
  </si>
  <si>
    <t>Reports home</t>
  </si>
  <si>
    <t>ccaofficerreports</t>
  </si>
  <si>
    <t>Group DSC, licensee, audit-agency, and annual-audit reports and open each report with its filters visible.</t>
  </si>
  <si>
    <t>Show report groups as equal cards with a title and a one-line description. Keep the grid aligned when card titles wrap.</t>
  </si>
  <si>
    <t>Monthly DSC and eSign report</t>
  </si>
  <si>
    <t>ccaofficerreports/monthlyreport</t>
  </si>
  <si>
    <t>Require a month, show totals, and export only the filtered rows.</t>
  </si>
  <si>
    <t>Place the month filter and the run button on one row above the table. Right-align totals and put Export on the right of that filter row.</t>
  </si>
  <si>
    <t>Yearly DSC and eSign report</t>
  </si>
  <si>
    <t>ccaofficerreports/yearlyreport</t>
  </si>
  <si>
    <t>Require a year and show monthly breakup plus the yearly total.</t>
  </si>
  <si>
    <t>Use the same filter row and table as the monthly report. Show the yearly total in a summary line above the monthly breakup.</t>
  </si>
  <si>
    <t>Custom period DSC and eSign report</t>
  </si>
  <si>
    <t>ccaofficerreports/customizedperiodreport</t>
  </si>
  <si>
    <t>Require a start and end date, reject an end date before the start date, and show the selected range in the heading.</t>
  </si>
  <si>
    <t>Keep start date, end date, and the run button on one line. Show the chosen range in the result heading so it does not sit in a separate unstyled line.</t>
  </si>
  <si>
    <t>Cumulative DSC and eSign report</t>
  </si>
  <si>
    <t>ccaofficerreports/cumulativereport</t>
  </si>
  <si>
    <t>Show cumulative issued counts and label the period the total covers.</t>
  </si>
  <si>
    <t>Show the covered period as a subtitle under the page title, and the totals in a summary strip above the table.</t>
  </si>
  <si>
    <t>Custom cumulative report</t>
  </si>
  <si>
    <t>ccaofficerreports/customizedcumulativereport</t>
  </si>
  <si>
    <t>Apply a custom range to the cumulative figures and keep the range visible on the result.</t>
  </si>
  <si>
    <t>Use the same date-pair filter as the custom period report, and repeat the selected range in the result heading.</t>
  </si>
  <si>
    <t>Licensee report</t>
  </si>
  <si>
    <t>ccaofficerreports/licenseereport</t>
  </si>
  <si>
    <t>List licensees with licence status and services, with search and export of the current filter.</t>
  </si>
  <si>
    <t>Align search, filters, and export on one toolbar. Keep status and services from wrapping into a tall uneven row.</t>
  </si>
  <si>
    <t>Custom licensee report</t>
  </si>
  <si>
    <t>ccaofficerreports/customizedlicenseereport</t>
  </si>
  <si>
    <t>Filter licensees by status, service, and date, and show a message when the filter matches nothing.</t>
  </si>
  <si>
    <t>Group the status, service, and date filters in one toolbar that wraps cleanly. Center the empty state in the result area.</t>
  </si>
  <si>
    <t>CA details report</t>
  </si>
  <si>
    <t>ccaofficerreports/cadetails</t>
  </si>
  <si>
    <t>Show certifying-authority profile fields used by the office, with no broken blank columns.</t>
  </si>
  <si>
    <t>Drop empty columns and give the remaining profile fields stable widths. Keep the header row sticky style consistent with the other reports.</t>
  </si>
  <si>
    <t>CA site locations</t>
  </si>
  <si>
    <t>ccaofficerreports/casitelocations</t>
  </si>
  <si>
    <t>List facility locations per licensee and keep state and city names visible.</t>
  </si>
  <si>
    <t>Show licensee, site, state, and city in four columns. Stop long addresses from overflowing the cell.</t>
  </si>
  <si>
    <t>Licences due for renewal</t>
  </si>
  <si>
    <t>ccaofficerreports/dueforrenewal</t>
  </si>
  <si>
    <t>List licences whose validity ends inside the selected window, using the same date rule as the renewal flow.</t>
  </si>
  <si>
    <t>Put the date-window filter on one row and highlight the validity end date. Use a badge when the licence is inside the due window.</t>
  </si>
  <si>
    <t>Annual audit closure report</t>
  </si>
  <si>
    <t>ccaofficerreports/annualauditclosurereport</t>
  </si>
  <si>
    <t>Show closed annual audits with closure date and whether closure was inside the schedule.</t>
  </si>
  <si>
    <t>Show closure date and on-time state in fixed columns, with on-time or late as a badge.</t>
  </si>
  <si>
    <t>Annual audit delayed</t>
  </si>
  <si>
    <t>ccaofficerreports/annualauditdelayedreport</t>
  </si>
  <si>
    <t>List audits still open after the scheduled end date.</t>
  </si>
  <si>
    <t>Use the same report table and an overdue badge so delayed rows are visible without a second legend.</t>
  </si>
  <si>
    <t>Annual audit on time</t>
  </si>
  <si>
    <t>ccaofficerreports/annualauditontimereport</t>
  </si>
  <si>
    <t>List audits closed inside the scheduled window.</t>
  </si>
  <si>
    <t>Match the closure-report columns and use one badge style for on-time rows.</t>
  </si>
  <si>
    <t>Annual audit submitted late</t>
  </si>
  <si>
    <t>ccaofficerreports/annualauditsubmittedlatereport</t>
  </si>
  <si>
    <t>List reports submitted after the due date.</t>
  </si>
  <si>
    <t>Match the other annual-audit reports and show the due date and submitted date in adjacent columns.</t>
  </si>
  <si>
    <t>Annual audit submitted on time</t>
  </si>
  <si>
    <t>ccaofficerreports/annualauditsubmittedontimereport</t>
  </si>
  <si>
    <t>List reports submitted on or before the due date.</t>
  </si>
  <si>
    <t>Use the same date columns and badge placement as the submitted-late report.</t>
  </si>
  <si>
    <t>Audits by audit agency</t>
  </si>
  <si>
    <t>ccaofficerreports/auditbyauditagencyreport</t>
  </si>
  <si>
    <t>Count audits per agency for the selected period and drill into the agency name.</t>
  </si>
  <si>
    <t>Show the agency name as a link and the count right-aligned. Keep the period filter on the same toolbar as the other reports.</t>
  </si>
  <si>
    <t>Audit agency details</t>
  </si>
  <si>
    <t>ccaofficerreports/auditagencydetails</t>
  </si>
  <si>
    <t>Show agency profile, contact, and active status from the agency master.</t>
  </si>
  <si>
    <t>Lay profile and contact fields in a two-column read-only grid under the report toolbar, and show active status as a badge.</t>
  </si>
  <si>
    <t>Admin masters</t>
  </si>
  <si>
    <t>Country list</t>
  </si>
  <si>
    <t>country</t>
  </si>
  <si>
    <t>Search countries by name, show active status, and confirm before delete.</t>
  </si>
  <si>
    <t>Use one master-list layout: title and Add on the same row, search under it, and edit or delete as icons in a fixed action column.</t>
  </si>
  <si>
    <t>Add country</t>
  </si>
  <si>
    <t>country/addcountry</t>
  </si>
  <si>
    <t>Require a unique country name and show a clear message when the name already exists.</t>
  </si>
  <si>
    <t>Use a single narrow form card, label above the field, and Save and Cancel aligned on the bottom right.</t>
  </si>
  <si>
    <t>Edit country</t>
  </si>
  <si>
    <t>country/editcountry/:id</t>
  </si>
  <si>
    <t>Load the selected country and apply the same uniqueness check as add.</t>
  </si>
  <si>
    <t>Match the add-country form so the two screens differ only by the loaded value.</t>
  </si>
  <si>
    <t>State list</t>
  </si>
  <si>
    <t>state</t>
  </si>
  <si>
    <t>Filter states by country and show the country name on each row.</t>
  </si>
  <si>
    <t>Match the country list, and show the country name in its own column with a filter that lines up with the search box.</t>
  </si>
  <si>
    <t>Add state</t>
  </si>
  <si>
    <t>state/addstate</t>
  </si>
  <si>
    <t>Require country and a unique state name within that country.</t>
  </si>
  <si>
    <t>Place country and state name in one form card with equal input widths and the standard button row.</t>
  </si>
  <si>
    <t>Edit state</t>
  </si>
  <si>
    <t>state/editstate/:id</t>
  </si>
  <si>
    <t>Load country and state, and keep the state under the same country unless the user changes it.</t>
  </si>
  <si>
    <t>Use the same form card and button row as add state.</t>
  </si>
  <si>
    <t>City list</t>
  </si>
  <si>
    <t>city</t>
  </si>
  <si>
    <t>Filter cities by state and show state and country on each row.</t>
  </si>
  <si>
    <t>Match the state list, with state and country in separate columns and the filter on one toolbar.</t>
  </si>
  <si>
    <t>Add city</t>
  </si>
  <si>
    <t>city/addcity</t>
  </si>
  <si>
    <t>Require state and city name, and reject a duplicate city in the same state.</t>
  </si>
  <si>
    <t>Keep state and city name in one form card with the standard master-form button row.</t>
  </si>
  <si>
    <t>Edit city</t>
  </si>
  <si>
    <t>city/editcity/:id</t>
  </si>
  <si>
    <t>Load the city with its state and apply the same duplicate check as add.</t>
  </si>
  <si>
    <t>Match the add-city form layout.</t>
  </si>
  <si>
    <t>Document master list</t>
  </si>
  <si>
    <t>documentName</t>
  </si>
  <si>
    <t>List document names with mandatory flag and the service they belong to.</t>
  </si>
  <si>
    <t>Show name, service, and mandatory flag in stable columns. Use a yes or no badge for mandatory.</t>
  </si>
  <si>
    <t>Add document</t>
  </si>
  <si>
    <t>documentName/adddocumentName</t>
  </si>
  <si>
    <t>Require document name and whether it is mandatory. Reject a duplicate name.</t>
  </si>
  <si>
    <t>Align name, service, and the mandatory switch in one form card with the standard button row.</t>
  </si>
  <si>
    <t>Edit document</t>
  </si>
  <si>
    <t>documentName/editdocumentName/:id</t>
  </si>
  <si>
    <t>Load the document and keep the mandatory flag editable with the same validation as add.</t>
  </si>
  <si>
    <t>Match the add-document form, including the same switch placement.</t>
  </si>
  <si>
    <t>CPS document list</t>
  </si>
  <si>
    <t>cps</t>
  </si>
  <si>
    <t>List CPS documents with version and status so application screens can load the active set.</t>
  </si>
  <si>
    <t>Show title, version, and status as a master table. Keep the file name from overflowing the row.</t>
  </si>
  <si>
    <t>Add CPS document</t>
  </si>
  <si>
    <t>cps/addcps</t>
  </si>
  <si>
    <t>Require title, version, and file. Accept only the allowed document types.</t>
  </si>
  <si>
    <t>Stack title, version, and the file upload in one card. Show the selected file name under the upload button.</t>
  </si>
  <si>
    <t>Edit CPS document</t>
  </si>
  <si>
    <t>cps/editcps/:id</t>
  </si>
  <si>
    <t>Replace the file without losing the title, and keep older applications pointing at the version they used.</t>
  </si>
  <si>
    <t>Match the add form, and show the current file as a link above the replace control.</t>
  </si>
  <si>
    <t>Minimum attempts list</t>
  </si>
  <si>
    <t>minimumattempts</t>
  </si>
  <si>
    <t>Show the configured minimum-attempt rule and its effective status.</t>
  </si>
  <si>
    <t>Use the master-list header and a single numeric column with the value right-aligned.</t>
  </si>
  <si>
    <t>Add minimum attempts</t>
  </si>
  <si>
    <t>minimumattempts/addminimumattempts</t>
  </si>
  <si>
    <t>Require a positive whole number and reject a second active rule if only one is allowed.</t>
  </si>
  <si>
    <t>Use a short form card with one numeric field and the standard button row.</t>
  </si>
  <si>
    <t>Edit minimum attempts</t>
  </si>
  <si>
    <t>minimumattempts/editminimumattempts/:id</t>
  </si>
  <si>
    <t>Load the current number and apply the same positive-number check.</t>
  </si>
  <si>
    <t>Match the add form layout.</t>
  </si>
  <si>
    <t>Audit agency list</t>
  </si>
  <si>
    <t>agency</t>
  </si>
  <si>
    <t>List agencies with contact, status, and whether they can be selected on an application.</t>
  </si>
  <si>
    <t>Show name, contact, and active status in a table. Keep the phone and email from wrapping under the name, and use a status badge.</t>
  </si>
  <si>
    <t>Add audit agency</t>
  </si>
  <si>
    <t>agency/addagency</t>
  </si>
  <si>
    <t>Validate agency name, email, phone, and address. Require a unique agency name.</t>
  </si>
  <si>
    <t>Group name, contact, and address into one form card on a two-column grid. Keep the address full width on the last row.</t>
  </si>
  <si>
    <t>Edit audit agency</t>
  </si>
  <si>
    <t>agency/editagency/:id</t>
  </si>
  <si>
    <t>Load the agency profile and apply the same contact validation as add.</t>
  </si>
  <si>
    <t>Use the same two-column card as add.</t>
  </si>
  <si>
    <t>Assigned roles list</t>
  </si>
  <si>
    <t>addrole</t>
  </si>
  <si>
    <t>Show users and the role assigned to them.</t>
  </si>
  <si>
    <t>Show user and role in two clear columns with the action icons fixed on the right.</t>
  </si>
  <si>
    <t>Assign role</t>
  </si>
  <si>
    <t>addrole/addassignedrole/:id</t>
  </si>
  <si>
    <t>Require a role before save and show the user the role is being assigned to.</t>
  </si>
  <si>
    <t>Show the user name as read-only text above a role dropdown of the same width as other master fields.</t>
  </si>
  <si>
    <t>Edit assigned role</t>
  </si>
  <si>
    <t>addrole/editassignedrole/:id</t>
  </si>
  <si>
    <t>Change the role without creating a second assignment for the same user.</t>
  </si>
  <si>
    <t>Match the assign-role form.</t>
  </si>
  <si>
    <t>View assigned role</t>
  </si>
  <si>
    <t>addrole/viewassignedrole/:id</t>
  </si>
  <si>
    <t>Show the user and current role in read-only form.</t>
  </si>
  <si>
    <t>Show user and role in a short read-only card with a back button, and no editable inputs.</t>
  </si>
  <si>
    <t>Intent users</t>
  </si>
  <si>
    <t>userintent</t>
  </si>
  <si>
    <t>List intent registrations awaiting a user decision, with approve and reject actions and a required remark on reject.</t>
  </si>
  <si>
    <t>Show registration rows with approve and reject as a consistent button pair. Keep the remark from expanding the row until reject is chosen.</t>
  </si>
  <si>
    <t>Audit agency users</t>
  </si>
  <si>
    <t>userauditagency</t>
  </si>
  <si>
    <t>List agency user accounts and their active status, and keep a deactivate action explicit.</t>
  </si>
  <si>
    <t>Use the master-list layout with an active badge and a single deactivate action that does not wrap.</t>
  </si>
  <si>
    <t>Audit criteria list</t>
  </si>
  <si>
    <t>audit</t>
  </si>
  <si>
    <t>List criteria in display order with active status.</t>
  </si>
  <si>
    <t>Show name, order, and status. Right-align the order column and use the standard action column.</t>
  </si>
  <si>
    <t>Add audit criteria</t>
  </si>
  <si>
    <t>audit/addcriteria</t>
  </si>
  <si>
    <t>Require criteria name and order. Reject a duplicate name.</t>
  </si>
  <si>
    <t>Place name and order in one form card with the standard button row.</t>
  </si>
  <si>
    <t>Edit audit criteria</t>
  </si>
  <si>
    <t>audit/editcriteria/:id</t>
  </si>
  <si>
    <t>Load the criteria and keep child sub-criteria attached after a rename.</t>
  </si>
  <si>
    <t>Match the add-criteria form.</t>
  </si>
  <si>
    <t>Audit sub-criteria list</t>
  </si>
  <si>
    <t>subaudit</t>
  </si>
  <si>
    <t>Show each sub-criteria under its parent criteria.</t>
  </si>
  <si>
    <t>Show the parent criteria in its own column so the hierarchy is visible in the table.</t>
  </si>
  <si>
    <t>Add sub-criteria</t>
  </si>
  <si>
    <t>subaudit/addsubcriteria</t>
  </si>
  <si>
    <t>Require a parent criteria and a unique sub-criteria name under that parent.</t>
  </si>
  <si>
    <t>Stack parent and name in one form card with equal field widths.</t>
  </si>
  <si>
    <t>Edit sub-criteria</t>
  </si>
  <si>
    <t>subaudit/editsubcriteria/:id</t>
  </si>
  <si>
    <t>Load parent and name, and apply the same uniqueness check.</t>
  </si>
  <si>
    <t>Match the add sub-criteria form.</t>
  </si>
  <si>
    <t>Audit parameter list</t>
  </si>
  <si>
    <t>parameter</t>
  </si>
  <si>
    <t>List parameters under the criteria tree.</t>
  </si>
  <si>
    <t>Show the parameter under its parent in a table with the same header and action column as the other audit masters.</t>
  </si>
  <si>
    <t>Add parameter</t>
  </si>
  <si>
    <t>parameter/addparameter</t>
  </si>
  <si>
    <t>Require parameter text and the parent it belongs to.</t>
  </si>
  <si>
    <t>Use one form card for the parent choice and the parameter text, with the text area full width.</t>
  </si>
  <si>
    <t>Edit parameter</t>
  </si>
  <si>
    <t>parameter/editparameter/:id</t>
  </si>
  <si>
    <t>Load the parameter and keep its place in the criteria tree.</t>
  </si>
  <si>
    <t>Match the add-parameter form.</t>
  </si>
  <si>
    <t>Control type list</t>
  </si>
  <si>
    <t>ctype</t>
  </si>
  <si>
    <t>List control types used when an auditor scores a control.</t>
  </si>
  <si>
    <t>Use the standard master table with name and status.</t>
  </si>
  <si>
    <t>Add control type</t>
  </si>
  <si>
    <t>ctype/addcontroltype</t>
  </si>
  <si>
    <t>Require a unique control-type name.</t>
  </si>
  <si>
    <t>Use the short master form card and button row.</t>
  </si>
  <si>
    <t>Edit control type</t>
  </si>
  <si>
    <t>ctype/editcontroltype/:id</t>
  </si>
  <si>
    <t>Rename the type without detaching controls that already use it.</t>
  </si>
  <si>
    <t>Match the add control-type form.</t>
  </si>
  <si>
    <t>Audit check list</t>
  </si>
  <si>
    <t>check</t>
  </si>
  <si>
    <t>List checks with the control they support.</t>
  </si>
  <si>
    <t>Show the check and its control in two columns with the standard action column.</t>
  </si>
  <si>
    <t>Add check</t>
  </si>
  <si>
    <t>check/addcheck</t>
  </si>
  <si>
    <t>Require check text and the related control.</t>
  </si>
  <si>
    <t>Stack the related control and the check text in one card. Keep the check text full width.</t>
  </si>
  <si>
    <t>Edit check</t>
  </si>
  <si>
    <t>check/editcheck/:id</t>
  </si>
  <si>
    <t>Load the check and apply the same required fields as add.</t>
  </si>
  <si>
    <t>Match the add-check form.</t>
  </si>
  <si>
    <t>Audit control list</t>
  </si>
  <si>
    <t>control</t>
  </si>
  <si>
    <t>List controls in the order auditors see them.</t>
  </si>
  <si>
    <t>Show control text, type, and order. Clamp long control text to two lines with the full text on hover so rows stay even.</t>
  </si>
  <si>
    <t>Add control</t>
  </si>
  <si>
    <t>control/addcontrol</t>
  </si>
  <si>
    <t>Require control text, type, and parent criteria before save.</t>
  </si>
  <si>
    <t>Group text, type, and parent criteria in one form card. Keep the control text full width and the other fields half width.</t>
  </si>
  <si>
    <t>Edit control</t>
  </si>
  <si>
    <t>control/editcontrol/:id</t>
  </si>
  <si>
    <t>Edit control text without changing historical audit results already stored against it.</t>
  </si>
  <si>
    <t>Match the add-control form.</t>
  </si>
  <si>
    <t>Role master list</t>
  </si>
  <si>
    <t>rolemaster</t>
  </si>
  <si>
    <t>List roles used by the menu and by route access.</t>
  </si>
  <si>
    <t>Show role name and path in stable columns with the standard add button and action column.</t>
  </si>
  <si>
    <t>Add role</t>
  </si>
  <si>
    <t>rolemaster/addrole</t>
  </si>
  <si>
    <t>Require a unique role name and a role path that matches private routing.</t>
  </si>
  <si>
    <t>Place role name and role path in one form card. Use a monospaced or clearly readable path field so the route is easy to scan.</t>
  </si>
  <si>
    <t>Edit role</t>
  </si>
  <si>
    <t>rolemaster/editrole/:id</t>
  </si>
  <si>
    <t>Rename or update the path without breaking users already assigned to the role.</t>
  </si>
  <si>
    <t>Match the add-role form.</t>
  </si>
  <si>
    <t>Menu list</t>
  </si>
  <si>
    <t>menumaster</t>
  </si>
  <si>
    <t>List top-level menus in display order.</t>
  </si>
  <si>
    <t>Show name, order, and role. Right-align order and keep the action column fixed.</t>
  </si>
  <si>
    <t>Add menu</t>
  </si>
  <si>
    <t>menumaster/addmenu</t>
  </si>
  <si>
    <t>Require menu name, order, and the role that can see it.</t>
  </si>
  <si>
    <t>Align name, order, and role in one form card with the standard button row.</t>
  </si>
  <si>
    <t>Edit menu</t>
  </si>
  <si>
    <t>menumaster/editmenu/:id</t>
  </si>
  <si>
    <t>Load the menu and keep its sub-menus attached.</t>
  </si>
  <si>
    <t>Match the add-menu form.</t>
  </si>
  <si>
    <t>Sub-menu list</t>
  </si>
  <si>
    <t>submenu</t>
  </si>
  <si>
    <t>Show sub-menus under the parent menu.</t>
  </si>
  <si>
    <t>Show the parent menu in its own column beside the sub-menu name and route.</t>
  </si>
  <si>
    <t>Add sub-menu</t>
  </si>
  <si>
    <t>submenu/addsubmenu</t>
  </si>
  <si>
    <t>Require parent menu, name, and route.</t>
  </si>
  <si>
    <t>Stack parent, name, and route in one form card. Keep the route field full width.</t>
  </si>
  <si>
    <t>Edit sub-menu</t>
  </si>
  <si>
    <t>submenu/editsubmenu/:id</t>
  </si>
  <si>
    <t>Update the route and keep the parent menu.</t>
  </si>
  <si>
    <t>Match the add sub-menu form.</t>
  </si>
  <si>
    <t>Internal sub-menu list</t>
  </si>
  <si>
    <t>internalsubmenu</t>
  </si>
  <si>
    <t>List internal menu items under the correct sub-menu.</t>
  </si>
  <si>
    <t>Show parent sub-menu, label, and route in three columns with the standard action column.</t>
  </si>
  <si>
    <t>Add internal sub-menu</t>
  </si>
  <si>
    <t>internalsubmenu/addinternalsubmenu</t>
  </si>
  <si>
    <t>Require parent sub-menu, label, and route.</t>
  </si>
  <si>
    <t>Use one form card for parent, label, and route, with route full width.</t>
  </si>
  <si>
    <t>Edit internal sub-menu</t>
  </si>
  <si>
    <t>internalsubmenu/editinternalsubmenu/:id</t>
  </si>
  <si>
    <t>Load the item and apply the same required fields as add.</t>
  </si>
  <si>
    <t>Match the add internal sub-menu form.</t>
  </si>
  <si>
    <t>Intent unique-code list</t>
  </si>
  <si>
    <t>iuniquecode</t>
  </si>
  <si>
    <t>List intent codes and whether each code is still unused.</t>
  </si>
  <si>
    <t>Show the code and used or unused as a badge. Keep codes on one line in a fixed-width column.</t>
  </si>
  <si>
    <t>Add intent code</t>
  </si>
  <si>
    <t>iuniquecode/adduniquecode</t>
  </si>
  <si>
    <t>Require a unique code and reject spaces or duplicates.</t>
  </si>
  <si>
    <t>Use a short form card with one code field and the standard button row.</t>
  </si>
  <si>
    <t>Edit intent code</t>
  </si>
  <si>
    <t>iuniquecode/edituniquecode/:id</t>
  </si>
  <si>
    <t>Allow a change only while the code is unused.</t>
  </si>
  <si>
    <t>Match the add form, and show a used code as read-only text.</t>
  </si>
  <si>
    <t>Application type list</t>
  </si>
  <si>
    <t>applicationtype</t>
  </si>
  <si>
    <t>List licence application types that drive the form steps.</t>
  </si>
  <si>
    <t>Use the master-list layout with type name and status badge.</t>
  </si>
  <si>
    <t>Add application type</t>
  </si>
  <si>
    <t>applicationtype/addapplicationtype</t>
  </si>
  <si>
    <t>Require a unique type name.</t>
  </si>
  <si>
    <t>Use the short master form card.</t>
  </si>
  <si>
    <t>Edit application type</t>
  </si>
  <si>
    <t>applicationtype/editapplicationtype/:id</t>
  </si>
  <si>
    <t>Rename the type without changing the step mapping already used by drafts.</t>
  </si>
  <si>
    <t>Match the add application-type form.</t>
  </si>
  <si>
    <t>Service list</t>
  </si>
  <si>
    <t>service</t>
  </si>
  <si>
    <t>List licence services offered to applicants.</t>
  </si>
  <si>
    <t>Show service name and active status with the standard list header and action column.</t>
  </si>
  <si>
    <t>Add service</t>
  </si>
  <si>
    <t>service/addservice</t>
  </si>
  <si>
    <t>Require a unique service name and active status.</t>
  </si>
  <si>
    <t>Place name and active status in one form card.</t>
  </si>
  <si>
    <t>Edit service</t>
  </si>
  <si>
    <t>service/editservice/:id</t>
  </si>
  <si>
    <t>Update the service and keep sub-services attached.</t>
  </si>
  <si>
    <t>Match the add-service form.</t>
  </si>
  <si>
    <t>Sub-service list</t>
  </si>
  <si>
    <t>subservice</t>
  </si>
  <si>
    <t>Show sub-services under the parent service.</t>
  </si>
  <si>
    <t>Show the parent service in its own column.</t>
  </si>
  <si>
    <t>Add sub-service</t>
  </si>
  <si>
    <t>subservice/addsubservice</t>
  </si>
  <si>
    <t>Require parent service and a unique sub-service name.</t>
  </si>
  <si>
    <t>Stack parent service and name in one form card.</t>
  </si>
  <si>
    <t>Edit sub-service</t>
  </si>
  <si>
    <t>subservice/editsubservice/:id</t>
  </si>
  <si>
    <t>Load parent and name and apply the same checks as add.</t>
  </si>
  <si>
    <t>Match the add sub-service form.</t>
  </si>
  <si>
    <t>Undertaking master list</t>
  </si>
  <si>
    <t>undertaking</t>
  </si>
  <si>
    <t>List undertaking texts used on declarations.</t>
  </si>
  <si>
    <t>Show the title in the table and clamp the undertaking text to two lines so every row is the same height.</t>
  </si>
  <si>
    <t>Add undertaking</t>
  </si>
  <si>
    <t>undertaking/addundertaking</t>
  </si>
  <si>
    <t>Require title and the undertaking text.</t>
  </si>
  <si>
    <t>Stack title and a full-width text area in one card, with enough height to read a paragraph.</t>
  </si>
  <si>
    <t>Edit undertaking</t>
  </si>
  <si>
    <t>undertaking/editundertaking/:id</t>
  </si>
  <si>
    <t>Edit the text that new applications will see. Submitted applications keep the text they accepted.</t>
  </si>
  <si>
    <t>Match the add-undertaking form, including the same text-area height.</t>
  </si>
  <si>
    <t>CCA staff list</t>
  </si>
  <si>
    <t>ccastaff</t>
  </si>
  <si>
    <t>List staff accounts with role and active status.</t>
  </si>
  <si>
    <t>Show name, email, role, and status. Keep email on one line and role as a badge.</t>
  </si>
  <si>
    <t>Add CCA staff</t>
  </si>
  <si>
    <t>ccastaff/addccastaff</t>
  </si>
  <si>
    <t>Validate name, email, phone, and role. Reject a duplicate email.</t>
  </si>
  <si>
    <t>Use a two-column form card for name, email, phone, and role, with the button row at the bottom right.</t>
  </si>
  <si>
    <t>Edit CCA staff</t>
  </si>
  <si>
    <t>ccastaff/editccastaff/:id</t>
  </si>
  <si>
    <t>Update staff details and role with the same validation as add.</t>
  </si>
  <si>
    <t>Match the add-staff form.</t>
  </si>
  <si>
    <t>eSign API specification list</t>
  </si>
  <si>
    <t>apispecification</t>
  </si>
  <si>
    <t>List API specifications available on the eSign application.</t>
  </si>
  <si>
    <t>Show name and version in a master table with the standard action column.</t>
  </si>
  <si>
    <t>Add API specification</t>
  </si>
  <si>
    <t>apispecification/addapispecification</t>
  </si>
  <si>
    <t>Require specification name and version label.</t>
  </si>
  <si>
    <t>Place name and version in one short form card.</t>
  </si>
  <si>
    <t>Edit API specification</t>
  </si>
  <si>
    <t>apispecification/editapispecification/:id</t>
  </si>
  <si>
    <t>Update the specification without removing it from applications that already selected it.</t>
  </si>
  <si>
    <t>Match the add specification form.</t>
  </si>
  <si>
    <t>eSign document type list</t>
  </si>
  <si>
    <t>esigndoctype</t>
  </si>
  <si>
    <t>List document types an eSign provider can offer.</t>
  </si>
  <si>
    <t>Use the standard master-list header, search, and action column.</t>
  </si>
  <si>
    <t>Add document type</t>
  </si>
  <si>
    <t>esigndoctype/addesigndoctype</t>
  </si>
  <si>
    <t>Require a unique document-type name.</t>
  </si>
  <si>
    <t>Edit document type</t>
  </si>
  <si>
    <t>esigndoctype/editesigndoctype/:id</t>
  </si>
  <si>
    <t>Load the type and apply the same uniqueness check.</t>
  </si>
  <si>
    <t>Match the add document-type form.</t>
  </si>
  <si>
    <t>eKYC mode list</t>
  </si>
  <si>
    <t>ekycmode</t>
  </si>
  <si>
    <t>List eKYC modes used in annexure and eSign screens.</t>
  </si>
  <si>
    <t>Use the standard master table for mode name and status.</t>
  </si>
  <si>
    <t>Add eKYC mode</t>
  </si>
  <si>
    <t>ekycmode/addekycmode</t>
  </si>
  <si>
    <t>Require a unique mode name.</t>
  </si>
  <si>
    <t>Edit eKYC mode</t>
  </si>
  <si>
    <t>ekycmode/editekycmode/:id</t>
  </si>
  <si>
    <t>Rename the mode and keep existing annexure answers readable.</t>
  </si>
  <si>
    <t>Match the add eKYC-mode form.</t>
  </si>
  <si>
    <t>API version list</t>
  </si>
  <si>
    <t>apiversion</t>
  </si>
  <si>
    <t>List eSign API versions.</t>
  </si>
  <si>
    <t>Show the version label in a single main column with the standard list chrome.</t>
  </si>
  <si>
    <t>Add API version</t>
  </si>
  <si>
    <t>apiversion/addapiversion</t>
  </si>
  <si>
    <t>Require a unique version label.</t>
  </si>
  <si>
    <t>Edit API version</t>
  </si>
  <si>
    <t>apiversion/editapiversion/:id</t>
  </si>
  <si>
    <t>Update the label with the same uniqueness check.</t>
  </si>
  <si>
    <t>Match the add API-version form.</t>
  </si>
  <si>
    <t>CA history</t>
  </si>
  <si>
    <t>cawisehistory</t>
  </si>
  <si>
    <t>Search certifying authorities and open the history of one licensee.</t>
  </si>
  <si>
    <t>Place search full width under the title and show results in a simple table with one history action.</t>
  </si>
  <si>
    <t>Licensee history</t>
  </si>
  <si>
    <t>cawisehistory/licenseehistory/:id</t>
  </si>
  <si>
    <t>Show application, licence, renewal, and audit events for the selected licensee in date order.</t>
  </si>
  <si>
    <t>Show events in date order as a vertical timeline with the date in a fixed column and the event text beside it.</t>
  </si>
  <si>
    <t>Pages</t>
  </si>
  <si>
    <t>Start</t>
  </si>
  <si>
    <t>End</t>
  </si>
  <si>
    <t>In progress</t>
  </si>
  <si>
    <t>Blocked</t>
  </si>
  <si>
    <t>Done</t>
  </si>
  <si>
    <t>Total</t>
  </si>
</sst>
</file>

<file path=xl/styles.xml><?xml version="1.0" encoding="utf-8"?>
<styleSheet xmlns="http://schemas.openxmlformats.org/spreadsheetml/2006/main">
  <numFmts count="1">
    <numFmt numFmtId="164" formatCode="dd\-mmm\-yyyy"/>
  </numFmts>
  <fonts count="5">
    <font>
      <sz val="11"/>
      <color theme="1"/>
      <name val="Calibri"/>
      <family val="2"/>
      <scheme val="minor"/>
    </font>
    <font>
      <sz val="11"/>
      <color rgb="FF1E293B"/>
      <name val="Calibri"/>
    </font>
    <font>
      <b/>
      <sz val="11"/>
      <color rgb="FFFFFFFF"/>
      <name val="Calibri"/>
    </font>
    <font>
      <b/>
      <sz val="11"/>
      <color rgb="FF1E293B"/>
      <name val="Calibri"/>
    </font>
    <font>
      <b/>
      <sz val="11"/>
      <color rgb="FFFFFFFF"/>
      <name val="Calibri"/>
    </font>
  </fonts>
  <fills count="7">
    <fill>
      <patternFill patternType="none"/>
    </fill>
    <fill>
      <patternFill patternType="gray125"/>
    </fill>
    <fill>
      <patternFill patternType="solid">
        <fgColor rgb="FF1F4E79"/>
      </patternFill>
    </fill>
    <fill>
      <patternFill patternType="solid">
        <fgColor rgb="FFFFFFFF"/>
      </patternFill>
    </fill>
    <fill>
      <patternFill patternType="solid">
        <fgColor rgb="FFF4F7FB"/>
      </patternFill>
    </fill>
    <fill>
      <patternFill patternType="solid">
        <fgColor rgb="FF0F6E6B"/>
      </patternFill>
    </fill>
    <fill>
      <patternFill patternType="solid">
        <fgColor rgb="FFF3FAF9"/>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164" fontId="1" fillId="3"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164" fontId="1"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6" borderId="1" xfId="0" applyFont="1" applyFill="1" applyBorder="1" applyAlignment="1">
      <alignment vertical="center" wrapText="1"/>
    </xf>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cellXfs>
  <cellStyles count="1">
    <cellStyle name="Normal" xfId="0" builtinId="0"/>
  </cellStyles>
  <dxfs count="3">
    <dxf>
      <fill>
        <patternFill patternType="solid">
          <fgColor rgb="FFFADBD8"/>
        </patternFill>
      </fill>
    </dxf>
    <dxf>
      <fill>
        <patternFill patternType="solid">
          <fgColor rgb="FFD6EAF8"/>
        </patternFill>
      </fill>
    </dxf>
    <dxf>
      <fill>
        <patternFill patternType="solid">
          <fgColor rgb="FFD5F5E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K298"/>
  <sheetViews>
    <sheetView showGridLines="0" tabSelected="1" view="pageBreakPreview" zoomScale="110" workbookViewId="0">
      <pane ySplit="1" topLeftCell="A117" activePane="bottomLeft" state="frozen"/>
      <selection pane="bottomLeft" activeCell="J121" sqref="J121"/>
    </sheetView>
  </sheetViews>
  <sheetFormatPr defaultRowHeight="15"/>
  <cols>
    <col min="1" max="1" width="8" customWidth="1"/>
    <col min="2" max="2" width="11.5703125" customWidth="1"/>
    <col min="3" max="3" width="10.28515625" customWidth="1"/>
    <col min="4" max="4" width="24" customWidth="1"/>
    <col min="5" max="5" width="31.7109375" customWidth="1"/>
    <col min="6" max="6" width="44.42578125" customWidth="1"/>
    <col min="7" max="7" width="45.28515625" customWidth="1"/>
    <col min="8" max="9" width="16" customWidth="1"/>
    <col min="10" max="10" width="18" customWidth="1"/>
    <col min="11" max="11" width="16" customWidth="1"/>
  </cols>
  <sheetData>
    <row r="1" spans="1:11" ht="30" customHeight="1">
      <c r="A1" s="1" t="s">
        <v>0</v>
      </c>
      <c r="B1" s="1" t="s">
        <v>1</v>
      </c>
      <c r="C1" s="1" t="s">
        <v>2</v>
      </c>
      <c r="D1" s="1" t="s">
        <v>3</v>
      </c>
      <c r="E1" s="1" t="s">
        <v>4</v>
      </c>
      <c r="F1" s="1" t="s">
        <v>5</v>
      </c>
      <c r="G1" s="17" t="s">
        <v>6</v>
      </c>
      <c r="H1" s="1" t="s">
        <v>7</v>
      </c>
      <c r="I1" s="1" t="s">
        <v>8</v>
      </c>
      <c r="J1" s="1" t="s">
        <v>9</v>
      </c>
      <c r="K1" s="1" t="s">
        <v>10</v>
      </c>
    </row>
    <row r="2" spans="1:11" ht="62.1" customHeight="1">
      <c r="A2" s="5">
        <v>1</v>
      </c>
      <c r="B2" s="6" t="s">
        <v>11</v>
      </c>
      <c r="C2" s="6" t="s">
        <v>11</v>
      </c>
      <c r="D2" s="6" t="s">
        <v>12</v>
      </c>
      <c r="E2" s="6" t="s">
        <v>13</v>
      </c>
      <c r="F2" s="6" t="s">
        <v>14</v>
      </c>
      <c r="G2" s="6" t="s">
        <v>15</v>
      </c>
      <c r="H2" s="18">
        <v>46307</v>
      </c>
      <c r="I2" s="18">
        <v>46307</v>
      </c>
      <c r="J2" s="5">
        <f t="shared" ref="J2:J14" si="0">NETWORKDAYS(H2,I2)</f>
        <v>1</v>
      </c>
      <c r="K2" s="5" t="s">
        <v>16</v>
      </c>
    </row>
    <row r="3" spans="1:11" ht="62.1" customHeight="1">
      <c r="A3" s="2">
        <v>2</v>
      </c>
      <c r="B3" s="3" t="s">
        <v>11</v>
      </c>
      <c r="C3" s="3" t="s">
        <v>11</v>
      </c>
      <c r="D3" s="3" t="s">
        <v>17</v>
      </c>
      <c r="E3" s="3" t="s">
        <v>18</v>
      </c>
      <c r="F3" s="3" t="s">
        <v>19</v>
      </c>
      <c r="G3" s="3" t="s">
        <v>20</v>
      </c>
      <c r="H3" s="19">
        <v>46307</v>
      </c>
      <c r="I3" s="19">
        <v>46307</v>
      </c>
      <c r="J3" s="2">
        <f t="shared" si="0"/>
        <v>1</v>
      </c>
      <c r="K3" s="2" t="s">
        <v>16</v>
      </c>
    </row>
    <row r="4" spans="1:11" ht="62.1" customHeight="1">
      <c r="A4" s="5">
        <v>3</v>
      </c>
      <c r="B4" s="6" t="s">
        <v>11</v>
      </c>
      <c r="C4" s="6" t="s">
        <v>11</v>
      </c>
      <c r="D4" s="6" t="s">
        <v>21</v>
      </c>
      <c r="E4" s="6" t="s">
        <v>18</v>
      </c>
      <c r="F4" s="6" t="s">
        <v>22</v>
      </c>
      <c r="G4" s="6" t="s">
        <v>23</v>
      </c>
      <c r="H4" s="18">
        <v>46308</v>
      </c>
      <c r="I4" s="18">
        <v>46308</v>
      </c>
      <c r="J4" s="5">
        <f t="shared" si="0"/>
        <v>1</v>
      </c>
      <c r="K4" s="5" t="s">
        <v>16</v>
      </c>
    </row>
    <row r="5" spans="1:11" ht="62.1" customHeight="1">
      <c r="A5" s="5">
        <v>4</v>
      </c>
      <c r="B5" s="3" t="s">
        <v>11</v>
      </c>
      <c r="C5" s="3" t="s">
        <v>11</v>
      </c>
      <c r="D5" s="3" t="s">
        <v>24</v>
      </c>
      <c r="E5" s="3" t="s">
        <v>18</v>
      </c>
      <c r="F5" s="3" t="s">
        <v>25</v>
      </c>
      <c r="G5" s="3" t="s">
        <v>26</v>
      </c>
      <c r="H5" s="19">
        <v>46308</v>
      </c>
      <c r="I5" s="19">
        <v>46308</v>
      </c>
      <c r="J5" s="2">
        <f t="shared" si="0"/>
        <v>1</v>
      </c>
      <c r="K5" s="2" t="s">
        <v>16</v>
      </c>
    </row>
    <row r="6" spans="1:11" ht="62.1" customHeight="1">
      <c r="A6" s="2">
        <v>5</v>
      </c>
      <c r="B6" s="6" t="s">
        <v>11</v>
      </c>
      <c r="C6" s="6" t="s">
        <v>11</v>
      </c>
      <c r="D6" s="6" t="s">
        <v>27</v>
      </c>
      <c r="E6" s="6" t="s">
        <v>18</v>
      </c>
      <c r="F6" s="6" t="s">
        <v>28</v>
      </c>
      <c r="G6" s="6" t="s">
        <v>29</v>
      </c>
      <c r="H6" s="18">
        <v>46309</v>
      </c>
      <c r="I6" s="18">
        <v>46309</v>
      </c>
      <c r="J6" s="5">
        <f t="shared" si="0"/>
        <v>1</v>
      </c>
      <c r="K6" s="5" t="s">
        <v>16</v>
      </c>
    </row>
    <row r="7" spans="1:11" ht="62.1" customHeight="1">
      <c r="A7" s="5">
        <v>6</v>
      </c>
      <c r="B7" s="3" t="s">
        <v>11</v>
      </c>
      <c r="C7" s="3" t="s">
        <v>11</v>
      </c>
      <c r="D7" s="3" t="s">
        <v>30</v>
      </c>
      <c r="E7" s="3" t="s">
        <v>18</v>
      </c>
      <c r="F7" s="3" t="s">
        <v>31</v>
      </c>
      <c r="G7" s="3" t="s">
        <v>32</v>
      </c>
      <c r="H7" s="19">
        <v>46309</v>
      </c>
      <c r="I7" s="19">
        <v>46309</v>
      </c>
      <c r="J7" s="2">
        <f t="shared" si="0"/>
        <v>1</v>
      </c>
      <c r="K7" s="2" t="s">
        <v>16</v>
      </c>
    </row>
    <row r="8" spans="1:11" ht="62.1" customHeight="1">
      <c r="A8" s="5">
        <v>7</v>
      </c>
      <c r="B8" s="6" t="s">
        <v>11</v>
      </c>
      <c r="C8" s="6" t="s">
        <v>11</v>
      </c>
      <c r="D8" s="6" t="s">
        <v>33</v>
      </c>
      <c r="E8" s="6" t="s">
        <v>18</v>
      </c>
      <c r="F8" s="6" t="s">
        <v>34</v>
      </c>
      <c r="G8" s="6" t="s">
        <v>35</v>
      </c>
      <c r="H8" s="18">
        <v>46310</v>
      </c>
      <c r="I8" s="18">
        <v>46310</v>
      </c>
      <c r="J8" s="5">
        <f t="shared" si="0"/>
        <v>1</v>
      </c>
      <c r="K8" s="5" t="s">
        <v>16</v>
      </c>
    </row>
    <row r="9" spans="1:11" ht="62.1" customHeight="1">
      <c r="A9" s="2">
        <v>8</v>
      </c>
      <c r="B9" s="3" t="s">
        <v>11</v>
      </c>
      <c r="C9" s="3" t="s">
        <v>11</v>
      </c>
      <c r="D9" s="3" t="s">
        <v>36</v>
      </c>
      <c r="E9" s="3" t="s">
        <v>18</v>
      </c>
      <c r="F9" s="3" t="s">
        <v>37</v>
      </c>
      <c r="G9" s="3" t="s">
        <v>38</v>
      </c>
      <c r="H9" s="19">
        <v>46310</v>
      </c>
      <c r="I9" s="19">
        <v>46310</v>
      </c>
      <c r="J9" s="2">
        <f t="shared" si="0"/>
        <v>1</v>
      </c>
      <c r="K9" s="2" t="s">
        <v>16</v>
      </c>
    </row>
    <row r="10" spans="1:11" ht="62.1" customHeight="1">
      <c r="A10" s="5">
        <v>9</v>
      </c>
      <c r="B10" s="6" t="s">
        <v>11</v>
      </c>
      <c r="C10" s="6" t="s">
        <v>11</v>
      </c>
      <c r="D10" s="6" t="s">
        <v>39</v>
      </c>
      <c r="E10" s="6" t="s">
        <v>18</v>
      </c>
      <c r="F10" s="6" t="s">
        <v>40</v>
      </c>
      <c r="G10" s="6" t="s">
        <v>41</v>
      </c>
      <c r="H10" s="18">
        <v>46311</v>
      </c>
      <c r="I10" s="18">
        <v>46311</v>
      </c>
      <c r="J10" s="5">
        <f t="shared" si="0"/>
        <v>1</v>
      </c>
      <c r="K10" s="5" t="s">
        <v>16</v>
      </c>
    </row>
    <row r="11" spans="1:11" ht="62.1" customHeight="1">
      <c r="A11" s="5">
        <v>10</v>
      </c>
      <c r="B11" s="3" t="s">
        <v>11</v>
      </c>
      <c r="C11" s="3" t="s">
        <v>11</v>
      </c>
      <c r="D11" s="3" t="s">
        <v>42</v>
      </c>
      <c r="E11" s="3" t="s">
        <v>18</v>
      </c>
      <c r="F11" s="3" t="s">
        <v>43</v>
      </c>
      <c r="G11" s="3" t="s">
        <v>44</v>
      </c>
      <c r="H11" s="19">
        <v>46311</v>
      </c>
      <c r="I11" s="19">
        <v>46311</v>
      </c>
      <c r="J11" s="2">
        <f t="shared" si="0"/>
        <v>1</v>
      </c>
      <c r="K11" s="2" t="s">
        <v>16</v>
      </c>
    </row>
    <row r="12" spans="1:11" ht="62.1" customHeight="1">
      <c r="A12" s="2">
        <v>11</v>
      </c>
      <c r="B12" s="6" t="s">
        <v>11</v>
      </c>
      <c r="C12" s="6" t="s">
        <v>11</v>
      </c>
      <c r="D12" s="6" t="s">
        <v>45</v>
      </c>
      <c r="E12" s="6" t="s">
        <v>18</v>
      </c>
      <c r="F12" s="6" t="s">
        <v>46</v>
      </c>
      <c r="G12" s="6" t="s">
        <v>47</v>
      </c>
      <c r="H12" s="18">
        <v>46314</v>
      </c>
      <c r="I12" s="18">
        <v>46314</v>
      </c>
      <c r="J12" s="5">
        <f t="shared" si="0"/>
        <v>1</v>
      </c>
      <c r="K12" s="5" t="s">
        <v>16</v>
      </c>
    </row>
    <row r="13" spans="1:11" ht="62.1" customHeight="1">
      <c r="A13" s="5">
        <v>12</v>
      </c>
      <c r="B13" s="3" t="s">
        <v>11</v>
      </c>
      <c r="C13" s="3" t="s">
        <v>11</v>
      </c>
      <c r="D13" s="3" t="s">
        <v>48</v>
      </c>
      <c r="E13" s="3" t="s">
        <v>18</v>
      </c>
      <c r="F13" s="3" t="s">
        <v>49</v>
      </c>
      <c r="G13" s="3" t="s">
        <v>50</v>
      </c>
      <c r="H13" s="19">
        <v>46315</v>
      </c>
      <c r="I13" s="19">
        <v>46315</v>
      </c>
      <c r="J13" s="2">
        <f t="shared" si="0"/>
        <v>1</v>
      </c>
      <c r="K13" s="2" t="s">
        <v>16</v>
      </c>
    </row>
    <row r="14" spans="1:11" ht="62.1" customHeight="1">
      <c r="A14" s="5">
        <v>13</v>
      </c>
      <c r="B14" s="6" t="s">
        <v>11</v>
      </c>
      <c r="C14" s="6" t="s">
        <v>11</v>
      </c>
      <c r="D14" s="6" t="s">
        <v>51</v>
      </c>
      <c r="E14" s="6" t="s">
        <v>18</v>
      </c>
      <c r="F14" s="6" t="s">
        <v>52</v>
      </c>
      <c r="G14" s="6" t="s">
        <v>53</v>
      </c>
      <c r="H14" s="18">
        <v>46315</v>
      </c>
      <c r="I14" s="18">
        <v>46315</v>
      </c>
      <c r="J14" s="5">
        <f t="shared" si="0"/>
        <v>1</v>
      </c>
      <c r="K14" s="5" t="s">
        <v>16</v>
      </c>
    </row>
    <row r="15" spans="1:11" ht="62.1" customHeight="1">
      <c r="A15" s="2">
        <v>14</v>
      </c>
      <c r="B15" s="3" t="s">
        <v>11</v>
      </c>
      <c r="C15" s="3" t="s">
        <v>11</v>
      </c>
      <c r="D15" s="3" t="s">
        <v>54</v>
      </c>
      <c r="E15" s="3" t="s">
        <v>18</v>
      </c>
      <c r="F15" s="3" t="s">
        <v>55</v>
      </c>
      <c r="G15" s="3" t="s">
        <v>56</v>
      </c>
      <c r="H15" s="19">
        <v>46316</v>
      </c>
      <c r="I15" s="19">
        <v>46316</v>
      </c>
      <c r="J15" s="2">
        <v>2</v>
      </c>
      <c r="K15" s="2" t="s">
        <v>16</v>
      </c>
    </row>
    <row r="16" spans="1:11" ht="62.1" customHeight="1">
      <c r="A16" s="5">
        <v>15</v>
      </c>
      <c r="B16" s="6" t="s">
        <v>11</v>
      </c>
      <c r="C16" s="6" t="s">
        <v>11</v>
      </c>
      <c r="D16" s="6" t="s">
        <v>57</v>
      </c>
      <c r="E16" s="6" t="s">
        <v>18</v>
      </c>
      <c r="F16" s="6" t="s">
        <v>58</v>
      </c>
      <c r="G16" s="6" t="s">
        <v>59</v>
      </c>
      <c r="H16" s="18">
        <v>46316</v>
      </c>
      <c r="I16" s="18">
        <v>46316</v>
      </c>
      <c r="J16" s="5">
        <v>2</v>
      </c>
      <c r="K16" s="5" t="s">
        <v>16</v>
      </c>
    </row>
    <row r="17" spans="1:11" ht="62.1" customHeight="1">
      <c r="A17" s="5">
        <v>16</v>
      </c>
      <c r="B17" s="3" t="s">
        <v>11</v>
      </c>
      <c r="C17" s="3" t="s">
        <v>11</v>
      </c>
      <c r="D17" s="3" t="s">
        <v>60</v>
      </c>
      <c r="E17" s="3" t="s">
        <v>18</v>
      </c>
      <c r="F17" s="3" t="s">
        <v>61</v>
      </c>
      <c r="G17" s="3" t="s">
        <v>62</v>
      </c>
      <c r="H17" s="19">
        <v>46316</v>
      </c>
      <c r="I17" s="19">
        <v>46316</v>
      </c>
      <c r="J17" s="2">
        <v>2</v>
      </c>
      <c r="K17" s="2" t="s">
        <v>16</v>
      </c>
    </row>
    <row r="18" spans="1:11" ht="62.1" customHeight="1">
      <c r="A18" s="2">
        <v>17</v>
      </c>
      <c r="B18" s="6" t="s">
        <v>11</v>
      </c>
      <c r="C18" s="6" t="s">
        <v>11</v>
      </c>
      <c r="D18" s="6" t="s">
        <v>63</v>
      </c>
      <c r="E18" s="6" t="s">
        <v>18</v>
      </c>
      <c r="F18" s="6" t="s">
        <v>64</v>
      </c>
      <c r="G18" s="6" t="s">
        <v>65</v>
      </c>
      <c r="H18" s="18">
        <v>46316</v>
      </c>
      <c r="I18" s="18">
        <v>46316</v>
      </c>
      <c r="J18" s="5">
        <v>2</v>
      </c>
      <c r="K18" s="5" t="s">
        <v>16</v>
      </c>
    </row>
    <row r="19" spans="1:11" ht="62.1" customHeight="1">
      <c r="A19" s="5">
        <v>18</v>
      </c>
      <c r="B19" s="3" t="s">
        <v>11</v>
      </c>
      <c r="C19" s="3" t="s">
        <v>11</v>
      </c>
      <c r="D19" s="3" t="s">
        <v>66</v>
      </c>
      <c r="E19" s="3" t="s">
        <v>13</v>
      </c>
      <c r="F19" s="3" t="s">
        <v>67</v>
      </c>
      <c r="G19" s="3" t="s">
        <v>68</v>
      </c>
      <c r="H19" s="19">
        <v>46317</v>
      </c>
      <c r="I19" s="19">
        <v>46317</v>
      </c>
      <c r="J19" s="2">
        <v>2</v>
      </c>
      <c r="K19" s="2" t="s">
        <v>16</v>
      </c>
    </row>
    <row r="20" spans="1:11" ht="62.1" customHeight="1">
      <c r="A20" s="5">
        <v>19</v>
      </c>
      <c r="B20" s="6" t="s">
        <v>11</v>
      </c>
      <c r="C20" s="6" t="s">
        <v>11</v>
      </c>
      <c r="D20" s="6" t="s">
        <v>69</v>
      </c>
      <c r="E20" s="6" t="s">
        <v>70</v>
      </c>
      <c r="F20" s="6" t="s">
        <v>71</v>
      </c>
      <c r="G20" s="6" t="s">
        <v>72</v>
      </c>
      <c r="H20" s="18">
        <v>46317</v>
      </c>
      <c r="I20" s="18">
        <v>46317</v>
      </c>
      <c r="J20" s="5">
        <f>NETWORKDAYS(H20,I20)</f>
        <v>1</v>
      </c>
      <c r="K20" s="5" t="s">
        <v>16</v>
      </c>
    </row>
    <row r="21" spans="1:11" ht="62.1" customHeight="1">
      <c r="A21" s="2">
        <v>20</v>
      </c>
      <c r="B21" s="3" t="s">
        <v>11</v>
      </c>
      <c r="C21" s="3" t="s">
        <v>11</v>
      </c>
      <c r="D21" s="3" t="s">
        <v>73</v>
      </c>
      <c r="E21" s="3" t="s">
        <v>74</v>
      </c>
      <c r="F21" s="3" t="s">
        <v>75</v>
      </c>
      <c r="G21" s="3" t="s">
        <v>76</v>
      </c>
      <c r="H21" s="19">
        <v>46317</v>
      </c>
      <c r="I21" s="19">
        <v>46317</v>
      </c>
      <c r="J21" s="2">
        <f>NETWORKDAYS(H21,I21)</f>
        <v>1</v>
      </c>
      <c r="K21" s="2" t="s">
        <v>16</v>
      </c>
    </row>
    <row r="22" spans="1:11" ht="62.1" customHeight="1">
      <c r="A22" s="5">
        <v>21</v>
      </c>
      <c r="B22" s="6" t="s">
        <v>11</v>
      </c>
      <c r="C22" s="6" t="s">
        <v>11</v>
      </c>
      <c r="D22" s="6" t="s">
        <v>77</v>
      </c>
      <c r="E22" s="6" t="s">
        <v>78</v>
      </c>
      <c r="F22" s="6" t="s">
        <v>79</v>
      </c>
      <c r="G22" s="6" t="s">
        <v>80</v>
      </c>
      <c r="H22" s="18">
        <v>46318</v>
      </c>
      <c r="I22" s="18">
        <v>46318</v>
      </c>
      <c r="J22" s="5">
        <f>NETWORKDAYS(H22,I22)</f>
        <v>1</v>
      </c>
      <c r="K22" s="5" t="s">
        <v>16</v>
      </c>
    </row>
    <row r="23" spans="1:11" ht="62.1" customHeight="1">
      <c r="A23" s="5">
        <v>22</v>
      </c>
      <c r="B23" s="3" t="s">
        <v>11</v>
      </c>
      <c r="C23" s="3" t="s">
        <v>11</v>
      </c>
      <c r="D23" s="3" t="s">
        <v>81</v>
      </c>
      <c r="E23" s="3" t="s">
        <v>18</v>
      </c>
      <c r="F23" s="3" t="s">
        <v>82</v>
      </c>
      <c r="G23" s="3" t="s">
        <v>83</v>
      </c>
      <c r="H23" s="19">
        <v>46318</v>
      </c>
      <c r="I23" s="19">
        <v>46318</v>
      </c>
      <c r="J23" s="2">
        <f>NETWORKDAYS(H23,I23)</f>
        <v>1</v>
      </c>
      <c r="K23" s="2" t="s">
        <v>16</v>
      </c>
    </row>
    <row r="24" spans="1:11" ht="62.1" customHeight="1">
      <c r="A24" s="2">
        <v>23</v>
      </c>
      <c r="B24" s="6" t="s">
        <v>11</v>
      </c>
      <c r="C24" s="6" t="s">
        <v>11</v>
      </c>
      <c r="D24" s="6" t="s">
        <v>84</v>
      </c>
      <c r="E24" s="6" t="s">
        <v>78</v>
      </c>
      <c r="F24" s="6" t="s">
        <v>85</v>
      </c>
      <c r="G24" s="6" t="s">
        <v>86</v>
      </c>
      <c r="H24" s="18">
        <v>46321</v>
      </c>
      <c r="I24" s="18">
        <v>46322</v>
      </c>
      <c r="J24" s="5">
        <v>2</v>
      </c>
      <c r="K24" s="5" t="s">
        <v>16</v>
      </c>
    </row>
    <row r="25" spans="1:11" ht="62.1" customHeight="1">
      <c r="A25" s="5">
        <v>24</v>
      </c>
      <c r="B25" s="3" t="s">
        <v>11</v>
      </c>
      <c r="C25" s="3" t="s">
        <v>11</v>
      </c>
      <c r="D25" s="3" t="s">
        <v>87</v>
      </c>
      <c r="E25" s="3" t="s">
        <v>78</v>
      </c>
      <c r="F25" s="3" t="s">
        <v>88</v>
      </c>
      <c r="G25" s="3" t="s">
        <v>89</v>
      </c>
      <c r="H25" s="19">
        <v>46321</v>
      </c>
      <c r="I25" s="19">
        <v>46322</v>
      </c>
      <c r="J25" s="2">
        <v>2</v>
      </c>
      <c r="K25" s="2" t="s">
        <v>16</v>
      </c>
    </row>
    <row r="26" spans="1:11" ht="62.1" customHeight="1">
      <c r="A26" s="5">
        <v>25</v>
      </c>
      <c r="B26" s="6" t="s">
        <v>11</v>
      </c>
      <c r="C26" s="6" t="s">
        <v>11</v>
      </c>
      <c r="D26" s="6" t="s">
        <v>90</v>
      </c>
      <c r="E26" s="6" t="s">
        <v>78</v>
      </c>
      <c r="F26" s="6" t="s">
        <v>91</v>
      </c>
      <c r="G26" s="6" t="s">
        <v>92</v>
      </c>
      <c r="H26" s="18">
        <v>46321</v>
      </c>
      <c r="I26" s="18">
        <v>46322</v>
      </c>
      <c r="J26" s="5">
        <v>2</v>
      </c>
      <c r="K26" s="5" t="s">
        <v>16</v>
      </c>
    </row>
    <row r="27" spans="1:11" ht="62.1" customHeight="1">
      <c r="A27" s="2">
        <v>26</v>
      </c>
      <c r="B27" s="3" t="s">
        <v>11</v>
      </c>
      <c r="C27" s="3" t="s">
        <v>11</v>
      </c>
      <c r="D27" s="3" t="s">
        <v>93</v>
      </c>
      <c r="E27" s="3" t="s">
        <v>78</v>
      </c>
      <c r="F27" s="3" t="s">
        <v>94</v>
      </c>
      <c r="G27" s="3" t="s">
        <v>95</v>
      </c>
      <c r="H27" s="19">
        <v>46321</v>
      </c>
      <c r="I27" s="19">
        <v>46322</v>
      </c>
      <c r="J27" s="2">
        <v>2</v>
      </c>
      <c r="K27" s="2" t="s">
        <v>16</v>
      </c>
    </row>
    <row r="28" spans="1:11" ht="62.1" customHeight="1">
      <c r="A28" s="5">
        <v>27</v>
      </c>
      <c r="B28" s="6" t="s">
        <v>11</v>
      </c>
      <c r="C28" s="6" t="s">
        <v>11</v>
      </c>
      <c r="D28" s="6" t="s">
        <v>96</v>
      </c>
      <c r="E28" s="6" t="s">
        <v>78</v>
      </c>
      <c r="F28" s="6" t="s">
        <v>97</v>
      </c>
      <c r="G28" s="6" t="s">
        <v>98</v>
      </c>
      <c r="H28" s="18">
        <v>46321</v>
      </c>
      <c r="I28" s="18">
        <v>46322</v>
      </c>
      <c r="J28" s="5">
        <v>2</v>
      </c>
      <c r="K28" s="5" t="s">
        <v>16</v>
      </c>
    </row>
    <row r="29" spans="1:11" ht="62.1" customHeight="1">
      <c r="A29" s="5">
        <v>28</v>
      </c>
      <c r="B29" s="3" t="s">
        <v>11</v>
      </c>
      <c r="C29" s="3" t="s">
        <v>11</v>
      </c>
      <c r="D29" s="3" t="s">
        <v>99</v>
      </c>
      <c r="E29" s="3" t="s">
        <v>78</v>
      </c>
      <c r="F29" s="3" t="s">
        <v>100</v>
      </c>
      <c r="G29" s="3" t="s">
        <v>101</v>
      </c>
      <c r="H29" s="19">
        <v>46321</v>
      </c>
      <c r="I29" s="19">
        <v>46322</v>
      </c>
      <c r="J29" s="2">
        <v>2</v>
      </c>
      <c r="K29" s="2" t="s">
        <v>16</v>
      </c>
    </row>
    <row r="30" spans="1:11" ht="62.1" customHeight="1">
      <c r="A30" s="2">
        <v>29</v>
      </c>
      <c r="B30" s="6" t="s">
        <v>11</v>
      </c>
      <c r="C30" s="6" t="s">
        <v>11</v>
      </c>
      <c r="D30" s="6" t="s">
        <v>102</v>
      </c>
      <c r="E30" s="6" t="s">
        <v>78</v>
      </c>
      <c r="F30" s="6" t="s">
        <v>103</v>
      </c>
      <c r="G30" s="6" t="s">
        <v>104</v>
      </c>
      <c r="H30" s="18">
        <v>46321</v>
      </c>
      <c r="I30" s="18">
        <v>46322</v>
      </c>
      <c r="J30" s="5">
        <v>2</v>
      </c>
      <c r="K30" s="5" t="s">
        <v>16</v>
      </c>
    </row>
    <row r="31" spans="1:11" ht="62.1" customHeight="1">
      <c r="A31" s="5">
        <v>30</v>
      </c>
      <c r="B31" s="3" t="s">
        <v>11</v>
      </c>
      <c r="C31" s="3" t="s">
        <v>11</v>
      </c>
      <c r="D31" s="3" t="s">
        <v>105</v>
      </c>
      <c r="E31" s="3" t="s">
        <v>78</v>
      </c>
      <c r="F31" s="3" t="s">
        <v>106</v>
      </c>
      <c r="G31" s="3" t="s">
        <v>107</v>
      </c>
      <c r="H31" s="19">
        <v>46321</v>
      </c>
      <c r="I31" s="19">
        <v>46322</v>
      </c>
      <c r="J31" s="2">
        <v>2</v>
      </c>
      <c r="K31" s="2" t="s">
        <v>16</v>
      </c>
    </row>
    <row r="32" spans="1:11" ht="62.1" customHeight="1">
      <c r="A32" s="5">
        <v>31</v>
      </c>
      <c r="B32" s="6" t="s">
        <v>11</v>
      </c>
      <c r="C32" s="6" t="s">
        <v>11</v>
      </c>
      <c r="D32" s="6" t="s">
        <v>108</v>
      </c>
      <c r="E32" s="6" t="s">
        <v>78</v>
      </c>
      <c r="F32" s="6" t="s">
        <v>109</v>
      </c>
      <c r="G32" s="6" t="s">
        <v>110</v>
      </c>
      <c r="H32" s="18">
        <v>46321</v>
      </c>
      <c r="I32" s="18">
        <v>46322</v>
      </c>
      <c r="J32" s="5">
        <v>2</v>
      </c>
      <c r="K32" s="5" t="s">
        <v>16</v>
      </c>
    </row>
    <row r="33" spans="1:11" ht="62.1" customHeight="1">
      <c r="A33" s="2">
        <v>32</v>
      </c>
      <c r="B33" s="3" t="s">
        <v>11</v>
      </c>
      <c r="C33" s="3" t="s">
        <v>11</v>
      </c>
      <c r="D33" s="3" t="s">
        <v>111</v>
      </c>
      <c r="E33" s="3" t="s">
        <v>78</v>
      </c>
      <c r="F33" s="3" t="s">
        <v>112</v>
      </c>
      <c r="G33" s="3" t="s">
        <v>113</v>
      </c>
      <c r="H33" s="19">
        <v>46321</v>
      </c>
      <c r="I33" s="19">
        <v>46322</v>
      </c>
      <c r="J33" s="2">
        <v>2</v>
      </c>
      <c r="K33" s="2" t="s">
        <v>16</v>
      </c>
    </row>
    <row r="34" spans="1:11" ht="62.1" customHeight="1">
      <c r="A34" s="5">
        <v>33</v>
      </c>
      <c r="B34" s="6" t="s">
        <v>11</v>
      </c>
      <c r="C34" s="6" t="s">
        <v>11</v>
      </c>
      <c r="D34" s="6" t="s">
        <v>114</v>
      </c>
      <c r="E34" s="6" t="s">
        <v>78</v>
      </c>
      <c r="F34" s="6" t="s">
        <v>115</v>
      </c>
      <c r="G34" s="6" t="s">
        <v>116</v>
      </c>
      <c r="H34" s="18">
        <v>46321</v>
      </c>
      <c r="I34" s="18">
        <v>46322</v>
      </c>
      <c r="J34" s="5">
        <v>2</v>
      </c>
      <c r="K34" s="5" t="s">
        <v>16</v>
      </c>
    </row>
    <row r="35" spans="1:11" ht="62.1" customHeight="1">
      <c r="A35" s="5">
        <v>34</v>
      </c>
      <c r="B35" s="3" t="s">
        <v>11</v>
      </c>
      <c r="C35" s="3" t="s">
        <v>11</v>
      </c>
      <c r="D35" s="3" t="s">
        <v>117</v>
      </c>
      <c r="E35" s="3" t="s">
        <v>78</v>
      </c>
      <c r="F35" s="3" t="s">
        <v>118</v>
      </c>
      <c r="G35" s="3" t="s">
        <v>119</v>
      </c>
      <c r="H35" s="19">
        <v>46321</v>
      </c>
      <c r="I35" s="19">
        <v>46322</v>
      </c>
      <c r="J35" s="2">
        <v>2</v>
      </c>
      <c r="K35" s="2" t="s">
        <v>16</v>
      </c>
    </row>
    <row r="36" spans="1:11" ht="62.1" customHeight="1">
      <c r="A36" s="2">
        <v>35</v>
      </c>
      <c r="B36" s="6" t="s">
        <v>11</v>
      </c>
      <c r="C36" s="6" t="s">
        <v>11</v>
      </c>
      <c r="D36" s="6" t="s">
        <v>120</v>
      </c>
      <c r="E36" s="6" t="s">
        <v>78</v>
      </c>
      <c r="F36" s="6" t="s">
        <v>121</v>
      </c>
      <c r="G36" s="6" t="s">
        <v>122</v>
      </c>
      <c r="H36" s="18">
        <v>46321</v>
      </c>
      <c r="I36" s="18">
        <v>46322</v>
      </c>
      <c r="J36" s="5">
        <v>2</v>
      </c>
      <c r="K36" s="5" t="s">
        <v>16</v>
      </c>
    </row>
    <row r="37" spans="1:11" ht="62.1" customHeight="1">
      <c r="A37" s="5">
        <v>36</v>
      </c>
      <c r="B37" s="3" t="s">
        <v>11</v>
      </c>
      <c r="C37" s="3" t="s">
        <v>11</v>
      </c>
      <c r="D37" s="3" t="s">
        <v>123</v>
      </c>
      <c r="E37" s="3" t="s">
        <v>78</v>
      </c>
      <c r="F37" s="3" t="s">
        <v>124</v>
      </c>
      <c r="G37" s="3" t="s">
        <v>125</v>
      </c>
      <c r="H37" s="19">
        <v>46321</v>
      </c>
      <c r="I37" s="19">
        <v>46322</v>
      </c>
      <c r="J37" s="2">
        <v>2</v>
      </c>
      <c r="K37" s="2" t="s">
        <v>16</v>
      </c>
    </row>
    <row r="38" spans="1:11" ht="62.1" customHeight="1">
      <c r="A38" s="5">
        <v>37</v>
      </c>
      <c r="B38" s="6" t="s">
        <v>11</v>
      </c>
      <c r="C38" s="6" t="s">
        <v>11</v>
      </c>
      <c r="D38" s="6" t="s">
        <v>126</v>
      </c>
      <c r="E38" s="6" t="s">
        <v>78</v>
      </c>
      <c r="F38" s="6" t="s">
        <v>127</v>
      </c>
      <c r="G38" s="6" t="s">
        <v>128</v>
      </c>
      <c r="H38" s="18">
        <v>46321</v>
      </c>
      <c r="I38" s="18">
        <v>46322</v>
      </c>
      <c r="J38" s="5">
        <v>2</v>
      </c>
      <c r="K38" s="5" t="s">
        <v>16</v>
      </c>
    </row>
    <row r="39" spans="1:11" ht="62.1" customHeight="1">
      <c r="A39" s="2">
        <v>38</v>
      </c>
      <c r="B39" s="3" t="s">
        <v>11</v>
      </c>
      <c r="C39" s="3" t="s">
        <v>11</v>
      </c>
      <c r="D39" s="3" t="s">
        <v>129</v>
      </c>
      <c r="E39" s="3" t="s">
        <v>78</v>
      </c>
      <c r="F39" s="3" t="s">
        <v>130</v>
      </c>
      <c r="G39" s="3" t="s">
        <v>131</v>
      </c>
      <c r="H39" s="19">
        <v>46321</v>
      </c>
      <c r="I39" s="19">
        <v>46322</v>
      </c>
      <c r="J39" s="2">
        <v>2</v>
      </c>
      <c r="K39" s="2" t="s">
        <v>16</v>
      </c>
    </row>
    <row r="40" spans="1:11" ht="62.1" customHeight="1">
      <c r="A40" s="5">
        <v>39</v>
      </c>
      <c r="B40" s="6" t="s">
        <v>11</v>
      </c>
      <c r="C40" s="6" t="s">
        <v>11</v>
      </c>
      <c r="D40" s="6" t="s">
        <v>132</v>
      </c>
      <c r="E40" s="6" t="s">
        <v>78</v>
      </c>
      <c r="F40" s="6" t="s">
        <v>133</v>
      </c>
      <c r="G40" s="6" t="s">
        <v>134</v>
      </c>
      <c r="H40" s="18">
        <v>46321</v>
      </c>
      <c r="I40" s="18">
        <v>46322</v>
      </c>
      <c r="J40" s="5">
        <v>2</v>
      </c>
      <c r="K40" s="5" t="s">
        <v>16</v>
      </c>
    </row>
    <row r="41" spans="1:11" ht="62.1" customHeight="1">
      <c r="A41" s="5">
        <v>40</v>
      </c>
      <c r="B41" s="3" t="s">
        <v>11</v>
      </c>
      <c r="C41" s="3" t="s">
        <v>11</v>
      </c>
      <c r="D41" s="3" t="s">
        <v>135</v>
      </c>
      <c r="E41" s="3" t="s">
        <v>78</v>
      </c>
      <c r="F41" s="3" t="s">
        <v>136</v>
      </c>
      <c r="G41" s="3" t="s">
        <v>137</v>
      </c>
      <c r="H41" s="19">
        <v>46321</v>
      </c>
      <c r="I41" s="19">
        <v>46322</v>
      </c>
      <c r="J41" s="2">
        <v>2</v>
      </c>
      <c r="K41" s="2" t="s">
        <v>16</v>
      </c>
    </row>
    <row r="42" spans="1:11" ht="62.1" customHeight="1">
      <c r="A42" s="2">
        <v>41</v>
      </c>
      <c r="B42" s="6" t="s">
        <v>11</v>
      </c>
      <c r="C42" s="6" t="s">
        <v>11</v>
      </c>
      <c r="D42" s="6" t="s">
        <v>138</v>
      </c>
      <c r="E42" s="6" t="s">
        <v>78</v>
      </c>
      <c r="F42" s="6" t="s">
        <v>139</v>
      </c>
      <c r="G42" s="6" t="s">
        <v>140</v>
      </c>
      <c r="H42" s="18">
        <v>46321</v>
      </c>
      <c r="I42" s="18">
        <v>46322</v>
      </c>
      <c r="J42" s="5">
        <v>2</v>
      </c>
      <c r="K42" s="5" t="s">
        <v>16</v>
      </c>
    </row>
    <row r="43" spans="1:11" ht="62.1" customHeight="1">
      <c r="A43" s="5">
        <v>42</v>
      </c>
      <c r="B43" s="3" t="s">
        <v>141</v>
      </c>
      <c r="C43" s="3" t="s">
        <v>141</v>
      </c>
      <c r="D43" s="3" t="s">
        <v>142</v>
      </c>
      <c r="E43" s="3" t="s">
        <v>143</v>
      </c>
      <c r="F43" s="3" t="s">
        <v>144</v>
      </c>
      <c r="G43" s="3" t="s">
        <v>145</v>
      </c>
      <c r="H43" s="19">
        <v>46323</v>
      </c>
      <c r="I43" s="19">
        <v>46323</v>
      </c>
      <c r="J43" s="2">
        <f>NETWORKDAYS(H43,I43)</f>
        <v>1</v>
      </c>
      <c r="K43" s="2" t="s">
        <v>16</v>
      </c>
    </row>
    <row r="44" spans="1:11" ht="62.1" customHeight="1">
      <c r="A44" s="5">
        <v>43</v>
      </c>
      <c r="B44" s="6" t="s">
        <v>141</v>
      </c>
      <c r="C44" s="6" t="s">
        <v>141</v>
      </c>
      <c r="D44" s="6" t="s">
        <v>146</v>
      </c>
      <c r="E44" s="6" t="s">
        <v>147</v>
      </c>
      <c r="F44" s="6" t="s">
        <v>148</v>
      </c>
      <c r="G44" s="6" t="s">
        <v>149</v>
      </c>
      <c r="H44" s="18">
        <v>46323</v>
      </c>
      <c r="I44" s="18">
        <v>46323</v>
      </c>
      <c r="J44" s="5">
        <f>NETWORKDAYS(H44,I44)</f>
        <v>1</v>
      </c>
      <c r="K44" s="5" t="s">
        <v>16</v>
      </c>
    </row>
    <row r="45" spans="1:11" ht="62.1" customHeight="1">
      <c r="A45" s="2">
        <v>44</v>
      </c>
      <c r="B45" s="3" t="s">
        <v>141</v>
      </c>
      <c r="C45" s="3" t="s">
        <v>141</v>
      </c>
      <c r="D45" s="3" t="s">
        <v>150</v>
      </c>
      <c r="E45" s="3" t="s">
        <v>151</v>
      </c>
      <c r="F45" s="3" t="s">
        <v>152</v>
      </c>
      <c r="G45" s="3" t="s">
        <v>153</v>
      </c>
      <c r="H45" s="19">
        <v>46323</v>
      </c>
      <c r="I45" s="19">
        <v>46323</v>
      </c>
      <c r="J45" s="2">
        <f>NETWORKDAYS(H45,I45)</f>
        <v>1</v>
      </c>
      <c r="K45" s="2" t="s">
        <v>16</v>
      </c>
    </row>
    <row r="46" spans="1:11" ht="62.1" customHeight="1">
      <c r="A46" s="5">
        <v>45</v>
      </c>
      <c r="B46" s="6" t="s">
        <v>141</v>
      </c>
      <c r="C46" s="6" t="s">
        <v>141</v>
      </c>
      <c r="D46" s="6" t="s">
        <v>154</v>
      </c>
      <c r="E46" s="6" t="s">
        <v>151</v>
      </c>
      <c r="F46" s="6" t="s">
        <v>155</v>
      </c>
      <c r="G46" s="6" t="s">
        <v>156</v>
      </c>
      <c r="H46" s="18">
        <v>46324</v>
      </c>
      <c r="I46" s="18">
        <v>46324</v>
      </c>
      <c r="J46" s="5">
        <v>2</v>
      </c>
      <c r="K46" s="5" t="s">
        <v>16</v>
      </c>
    </row>
    <row r="47" spans="1:11" ht="62.1" customHeight="1">
      <c r="A47" s="5">
        <v>46</v>
      </c>
      <c r="B47" s="3" t="s">
        <v>141</v>
      </c>
      <c r="C47" s="3" t="s">
        <v>141</v>
      </c>
      <c r="D47" s="3" t="s">
        <v>157</v>
      </c>
      <c r="E47" s="3" t="s">
        <v>151</v>
      </c>
      <c r="F47" s="3" t="s">
        <v>158</v>
      </c>
      <c r="G47" s="3" t="s">
        <v>159</v>
      </c>
      <c r="H47" s="19">
        <v>46324</v>
      </c>
      <c r="I47" s="19">
        <v>46324</v>
      </c>
      <c r="J47" s="2">
        <v>2</v>
      </c>
      <c r="K47" s="2" t="s">
        <v>16</v>
      </c>
    </row>
    <row r="48" spans="1:11" ht="62.1" customHeight="1">
      <c r="A48" s="2">
        <v>47</v>
      </c>
      <c r="B48" s="6" t="s">
        <v>141</v>
      </c>
      <c r="C48" s="6" t="s">
        <v>141</v>
      </c>
      <c r="D48" s="6" t="s">
        <v>160</v>
      </c>
      <c r="E48" s="6" t="s">
        <v>151</v>
      </c>
      <c r="F48" s="6" t="s">
        <v>161</v>
      </c>
      <c r="G48" s="6" t="s">
        <v>162</v>
      </c>
      <c r="H48" s="18">
        <v>46324</v>
      </c>
      <c r="I48" s="18">
        <v>46324</v>
      </c>
      <c r="J48" s="5">
        <v>2</v>
      </c>
      <c r="K48" s="5" t="s">
        <v>16</v>
      </c>
    </row>
    <row r="49" spans="1:11" ht="62.1" customHeight="1">
      <c r="A49" s="5">
        <v>48</v>
      </c>
      <c r="B49" s="3" t="s">
        <v>141</v>
      </c>
      <c r="C49" s="3" t="s">
        <v>141</v>
      </c>
      <c r="D49" s="3" t="s">
        <v>163</v>
      </c>
      <c r="E49" s="3" t="s">
        <v>151</v>
      </c>
      <c r="F49" s="3" t="s">
        <v>164</v>
      </c>
      <c r="G49" s="3" t="s">
        <v>165</v>
      </c>
      <c r="H49" s="19">
        <v>46324</v>
      </c>
      <c r="I49" s="19">
        <v>46324</v>
      </c>
      <c r="J49" s="2">
        <v>2</v>
      </c>
      <c r="K49" s="2" t="s">
        <v>16</v>
      </c>
    </row>
    <row r="50" spans="1:11" ht="62.1" customHeight="1">
      <c r="A50" s="5">
        <v>49</v>
      </c>
      <c r="B50" s="6" t="s">
        <v>141</v>
      </c>
      <c r="C50" s="6" t="s">
        <v>141</v>
      </c>
      <c r="D50" s="6" t="s">
        <v>166</v>
      </c>
      <c r="E50" s="6" t="s">
        <v>151</v>
      </c>
      <c r="F50" s="6" t="s">
        <v>167</v>
      </c>
      <c r="G50" s="6" t="s">
        <v>168</v>
      </c>
      <c r="H50" s="18">
        <v>46324</v>
      </c>
      <c r="I50" s="18">
        <v>46324</v>
      </c>
      <c r="J50" s="5">
        <v>2</v>
      </c>
      <c r="K50" s="5" t="s">
        <v>16</v>
      </c>
    </row>
    <row r="51" spans="1:11" ht="62.1" customHeight="1">
      <c r="A51" s="2">
        <v>50</v>
      </c>
      <c r="B51" s="3" t="s">
        <v>141</v>
      </c>
      <c r="C51" s="3" t="s">
        <v>141</v>
      </c>
      <c r="D51" s="3" t="s">
        <v>169</v>
      </c>
      <c r="E51" s="3" t="s">
        <v>170</v>
      </c>
      <c r="F51" s="3" t="s">
        <v>171</v>
      </c>
      <c r="G51" s="3" t="s">
        <v>172</v>
      </c>
      <c r="H51" s="19">
        <v>46325</v>
      </c>
      <c r="I51" s="19">
        <v>46325</v>
      </c>
      <c r="J51" s="2">
        <f t="shared" ref="J51:J96" si="1">NETWORKDAYS(H51,I51)</f>
        <v>1</v>
      </c>
      <c r="K51" s="2" t="s">
        <v>16</v>
      </c>
    </row>
    <row r="52" spans="1:11" ht="62.1" customHeight="1">
      <c r="A52" s="5">
        <v>51</v>
      </c>
      <c r="B52" s="6" t="s">
        <v>141</v>
      </c>
      <c r="C52" s="6" t="s">
        <v>141</v>
      </c>
      <c r="D52" s="6" t="s">
        <v>173</v>
      </c>
      <c r="E52" s="6" t="s">
        <v>174</v>
      </c>
      <c r="F52" s="6" t="s">
        <v>175</v>
      </c>
      <c r="G52" s="6" t="s">
        <v>176</v>
      </c>
      <c r="H52" s="18">
        <v>46325</v>
      </c>
      <c r="I52" s="18">
        <v>46325</v>
      </c>
      <c r="J52" s="5">
        <f t="shared" si="1"/>
        <v>1</v>
      </c>
      <c r="K52" s="5" t="s">
        <v>16</v>
      </c>
    </row>
    <row r="53" spans="1:11" ht="62.1" customHeight="1">
      <c r="A53" s="5">
        <v>52</v>
      </c>
      <c r="B53" s="3" t="s">
        <v>141</v>
      </c>
      <c r="C53" s="3" t="s">
        <v>141</v>
      </c>
      <c r="D53" s="3" t="s">
        <v>177</v>
      </c>
      <c r="E53" s="3" t="s">
        <v>178</v>
      </c>
      <c r="F53" s="3" t="s">
        <v>179</v>
      </c>
      <c r="G53" s="3" t="s">
        <v>180</v>
      </c>
      <c r="H53" s="19">
        <v>46325</v>
      </c>
      <c r="I53" s="19">
        <v>46325</v>
      </c>
      <c r="J53" s="2">
        <f t="shared" si="1"/>
        <v>1</v>
      </c>
      <c r="K53" s="2" t="s">
        <v>16</v>
      </c>
    </row>
    <row r="54" spans="1:11" ht="62.1" customHeight="1">
      <c r="A54" s="2">
        <v>53</v>
      </c>
      <c r="B54" s="6" t="s">
        <v>141</v>
      </c>
      <c r="C54" s="6" t="s">
        <v>141</v>
      </c>
      <c r="D54" s="6" t="s">
        <v>84</v>
      </c>
      <c r="E54" s="6" t="s">
        <v>181</v>
      </c>
      <c r="F54" s="6" t="s">
        <v>85</v>
      </c>
      <c r="G54" s="6" t="s">
        <v>182</v>
      </c>
      <c r="H54" s="18">
        <v>46328</v>
      </c>
      <c r="I54" s="18">
        <v>46328</v>
      </c>
      <c r="J54" s="5">
        <f t="shared" si="1"/>
        <v>1</v>
      </c>
      <c r="K54" s="5" t="s">
        <v>16</v>
      </c>
    </row>
    <row r="55" spans="1:11" ht="62.1" customHeight="1">
      <c r="A55" s="5">
        <v>54</v>
      </c>
      <c r="B55" s="3" t="s">
        <v>141</v>
      </c>
      <c r="C55" s="3" t="s">
        <v>141</v>
      </c>
      <c r="D55" s="3" t="s">
        <v>87</v>
      </c>
      <c r="E55" s="3" t="s">
        <v>181</v>
      </c>
      <c r="F55" s="3" t="s">
        <v>88</v>
      </c>
      <c r="G55" s="3" t="s">
        <v>183</v>
      </c>
      <c r="H55" s="19">
        <v>46328</v>
      </c>
      <c r="I55" s="19">
        <v>46328</v>
      </c>
      <c r="J55" s="2">
        <f t="shared" si="1"/>
        <v>1</v>
      </c>
      <c r="K55" s="2" t="s">
        <v>16</v>
      </c>
    </row>
    <row r="56" spans="1:11" ht="62.1" customHeight="1">
      <c r="A56" s="5">
        <v>55</v>
      </c>
      <c r="B56" s="6" t="s">
        <v>141</v>
      </c>
      <c r="C56" s="6" t="s">
        <v>141</v>
      </c>
      <c r="D56" s="6" t="s">
        <v>90</v>
      </c>
      <c r="E56" s="6" t="s">
        <v>181</v>
      </c>
      <c r="F56" s="6" t="s">
        <v>91</v>
      </c>
      <c r="G56" s="6" t="s">
        <v>184</v>
      </c>
      <c r="H56" s="18">
        <v>46328</v>
      </c>
      <c r="I56" s="18">
        <v>46328</v>
      </c>
      <c r="J56" s="5">
        <f t="shared" si="1"/>
        <v>1</v>
      </c>
      <c r="K56" s="5" t="s">
        <v>16</v>
      </c>
    </row>
    <row r="57" spans="1:11" ht="62.1" customHeight="1">
      <c r="A57" s="2">
        <v>56</v>
      </c>
      <c r="B57" s="3" t="s">
        <v>141</v>
      </c>
      <c r="C57" s="3" t="s">
        <v>141</v>
      </c>
      <c r="D57" s="3" t="s">
        <v>93</v>
      </c>
      <c r="E57" s="3" t="s">
        <v>181</v>
      </c>
      <c r="F57" s="3" t="s">
        <v>94</v>
      </c>
      <c r="G57" s="3" t="s">
        <v>185</v>
      </c>
      <c r="H57" s="19">
        <v>46328</v>
      </c>
      <c r="I57" s="19">
        <v>46328</v>
      </c>
      <c r="J57" s="2">
        <f t="shared" si="1"/>
        <v>1</v>
      </c>
      <c r="K57" s="2" t="s">
        <v>16</v>
      </c>
    </row>
    <row r="58" spans="1:11" ht="62.1" customHeight="1">
      <c r="A58" s="5">
        <v>57</v>
      </c>
      <c r="B58" s="6" t="s">
        <v>141</v>
      </c>
      <c r="C58" s="6" t="s">
        <v>141</v>
      </c>
      <c r="D58" s="6" t="s">
        <v>96</v>
      </c>
      <c r="E58" s="6" t="s">
        <v>181</v>
      </c>
      <c r="F58" s="6" t="s">
        <v>97</v>
      </c>
      <c r="G58" s="6" t="s">
        <v>186</v>
      </c>
      <c r="H58" s="18">
        <v>46328</v>
      </c>
      <c r="I58" s="18">
        <v>46328</v>
      </c>
      <c r="J58" s="5">
        <f t="shared" si="1"/>
        <v>1</v>
      </c>
      <c r="K58" s="5" t="s">
        <v>16</v>
      </c>
    </row>
    <row r="59" spans="1:11" ht="62.1" customHeight="1">
      <c r="A59" s="5">
        <v>58</v>
      </c>
      <c r="B59" s="3" t="s">
        <v>141</v>
      </c>
      <c r="C59" s="3" t="s">
        <v>141</v>
      </c>
      <c r="D59" s="3" t="s">
        <v>99</v>
      </c>
      <c r="E59" s="3" t="s">
        <v>181</v>
      </c>
      <c r="F59" s="3" t="s">
        <v>100</v>
      </c>
      <c r="G59" s="3" t="s">
        <v>187</v>
      </c>
      <c r="H59" s="19">
        <v>46328</v>
      </c>
      <c r="I59" s="19">
        <v>46328</v>
      </c>
      <c r="J59" s="2">
        <f t="shared" si="1"/>
        <v>1</v>
      </c>
      <c r="K59" s="2" t="s">
        <v>16</v>
      </c>
    </row>
    <row r="60" spans="1:11" ht="62.1" customHeight="1">
      <c r="A60" s="2">
        <v>59</v>
      </c>
      <c r="B60" s="6" t="s">
        <v>141</v>
      </c>
      <c r="C60" s="6" t="s">
        <v>141</v>
      </c>
      <c r="D60" s="6" t="s">
        <v>102</v>
      </c>
      <c r="E60" s="6" t="s">
        <v>181</v>
      </c>
      <c r="F60" s="6" t="s">
        <v>103</v>
      </c>
      <c r="G60" s="6" t="s">
        <v>188</v>
      </c>
      <c r="H60" s="18">
        <v>46328</v>
      </c>
      <c r="I60" s="18">
        <v>46328</v>
      </c>
      <c r="J60" s="5">
        <f t="shared" si="1"/>
        <v>1</v>
      </c>
      <c r="K60" s="5" t="s">
        <v>16</v>
      </c>
    </row>
    <row r="61" spans="1:11" ht="62.1" customHeight="1">
      <c r="A61" s="5">
        <v>60</v>
      </c>
      <c r="B61" s="3" t="s">
        <v>141</v>
      </c>
      <c r="C61" s="3" t="s">
        <v>141</v>
      </c>
      <c r="D61" s="3" t="s">
        <v>105</v>
      </c>
      <c r="E61" s="3" t="s">
        <v>181</v>
      </c>
      <c r="F61" s="3" t="s">
        <v>106</v>
      </c>
      <c r="G61" s="3" t="s">
        <v>189</v>
      </c>
      <c r="H61" s="19">
        <v>46328</v>
      </c>
      <c r="I61" s="19">
        <v>46328</v>
      </c>
      <c r="J61" s="2">
        <f t="shared" si="1"/>
        <v>1</v>
      </c>
      <c r="K61" s="2" t="s">
        <v>16</v>
      </c>
    </row>
    <row r="62" spans="1:11" ht="62.1" customHeight="1">
      <c r="A62" s="5">
        <v>61</v>
      </c>
      <c r="B62" s="6" t="s">
        <v>141</v>
      </c>
      <c r="C62" s="6" t="s">
        <v>141</v>
      </c>
      <c r="D62" s="6" t="s">
        <v>108</v>
      </c>
      <c r="E62" s="6" t="s">
        <v>181</v>
      </c>
      <c r="F62" s="6" t="s">
        <v>109</v>
      </c>
      <c r="G62" s="6" t="s">
        <v>190</v>
      </c>
      <c r="H62" s="18">
        <v>46328</v>
      </c>
      <c r="I62" s="18">
        <v>46328</v>
      </c>
      <c r="J62" s="5">
        <f t="shared" si="1"/>
        <v>1</v>
      </c>
      <c r="K62" s="5" t="s">
        <v>16</v>
      </c>
    </row>
    <row r="63" spans="1:11" ht="62.1" customHeight="1">
      <c r="A63" s="2">
        <v>62</v>
      </c>
      <c r="B63" s="3" t="s">
        <v>141</v>
      </c>
      <c r="C63" s="3" t="s">
        <v>141</v>
      </c>
      <c r="D63" s="3" t="s">
        <v>111</v>
      </c>
      <c r="E63" s="3" t="s">
        <v>181</v>
      </c>
      <c r="F63" s="3" t="s">
        <v>112</v>
      </c>
      <c r="G63" s="3" t="s">
        <v>191</v>
      </c>
      <c r="H63" s="19">
        <v>46328</v>
      </c>
      <c r="I63" s="19">
        <v>46328</v>
      </c>
      <c r="J63" s="2">
        <f t="shared" si="1"/>
        <v>1</v>
      </c>
      <c r="K63" s="2" t="s">
        <v>16</v>
      </c>
    </row>
    <row r="64" spans="1:11" ht="62.1" customHeight="1">
      <c r="A64" s="5">
        <v>63</v>
      </c>
      <c r="B64" s="6" t="s">
        <v>141</v>
      </c>
      <c r="C64" s="6" t="s">
        <v>141</v>
      </c>
      <c r="D64" s="6" t="s">
        <v>114</v>
      </c>
      <c r="E64" s="6" t="s">
        <v>181</v>
      </c>
      <c r="F64" s="6" t="s">
        <v>115</v>
      </c>
      <c r="G64" s="6" t="s">
        <v>192</v>
      </c>
      <c r="H64" s="18">
        <v>46328</v>
      </c>
      <c r="I64" s="18">
        <v>46328</v>
      </c>
      <c r="J64" s="5">
        <f t="shared" si="1"/>
        <v>1</v>
      </c>
      <c r="K64" s="5" t="s">
        <v>16</v>
      </c>
    </row>
    <row r="65" spans="1:11" ht="62.1" customHeight="1">
      <c r="A65" s="5">
        <v>64</v>
      </c>
      <c r="B65" s="3" t="s">
        <v>141</v>
      </c>
      <c r="C65" s="3" t="s">
        <v>141</v>
      </c>
      <c r="D65" s="3" t="s">
        <v>117</v>
      </c>
      <c r="E65" s="3" t="s">
        <v>181</v>
      </c>
      <c r="F65" s="3" t="s">
        <v>118</v>
      </c>
      <c r="G65" s="3" t="s">
        <v>193</v>
      </c>
      <c r="H65" s="19">
        <v>46328</v>
      </c>
      <c r="I65" s="19">
        <v>46328</v>
      </c>
      <c r="J65" s="2">
        <f t="shared" si="1"/>
        <v>1</v>
      </c>
      <c r="K65" s="2" t="s">
        <v>16</v>
      </c>
    </row>
    <row r="66" spans="1:11" ht="62.1" customHeight="1">
      <c r="A66" s="2">
        <v>65</v>
      </c>
      <c r="B66" s="6" t="s">
        <v>141</v>
      </c>
      <c r="C66" s="6" t="s">
        <v>141</v>
      </c>
      <c r="D66" s="6" t="s">
        <v>120</v>
      </c>
      <c r="E66" s="6" t="s">
        <v>181</v>
      </c>
      <c r="F66" s="6" t="s">
        <v>121</v>
      </c>
      <c r="G66" s="6" t="s">
        <v>194</v>
      </c>
      <c r="H66" s="18">
        <v>46328</v>
      </c>
      <c r="I66" s="18">
        <v>46328</v>
      </c>
      <c r="J66" s="5">
        <f t="shared" si="1"/>
        <v>1</v>
      </c>
      <c r="K66" s="5" t="s">
        <v>16</v>
      </c>
    </row>
    <row r="67" spans="1:11" ht="62.1" customHeight="1">
      <c r="A67" s="5">
        <v>66</v>
      </c>
      <c r="B67" s="3" t="s">
        <v>141</v>
      </c>
      <c r="C67" s="3" t="s">
        <v>141</v>
      </c>
      <c r="D67" s="3" t="s">
        <v>123</v>
      </c>
      <c r="E67" s="3" t="s">
        <v>181</v>
      </c>
      <c r="F67" s="3" t="s">
        <v>124</v>
      </c>
      <c r="G67" s="3" t="s">
        <v>195</v>
      </c>
      <c r="H67" s="19">
        <v>46328</v>
      </c>
      <c r="I67" s="19">
        <v>46328</v>
      </c>
      <c r="J67" s="2">
        <f t="shared" si="1"/>
        <v>1</v>
      </c>
      <c r="K67" s="2" t="s">
        <v>16</v>
      </c>
    </row>
    <row r="68" spans="1:11" ht="62.1" customHeight="1">
      <c r="A68" s="5">
        <v>67</v>
      </c>
      <c r="B68" s="6" t="s">
        <v>141</v>
      </c>
      <c r="C68" s="6" t="s">
        <v>141</v>
      </c>
      <c r="D68" s="6" t="s">
        <v>126</v>
      </c>
      <c r="E68" s="6" t="s">
        <v>181</v>
      </c>
      <c r="F68" s="6" t="s">
        <v>127</v>
      </c>
      <c r="G68" s="6" t="s">
        <v>196</v>
      </c>
      <c r="H68" s="18">
        <v>46328</v>
      </c>
      <c r="I68" s="18">
        <v>46328</v>
      </c>
      <c r="J68" s="5">
        <f t="shared" si="1"/>
        <v>1</v>
      </c>
      <c r="K68" s="5" t="s">
        <v>16</v>
      </c>
    </row>
    <row r="69" spans="1:11" ht="62.1" customHeight="1">
      <c r="A69" s="2">
        <v>68</v>
      </c>
      <c r="B69" s="3" t="s">
        <v>141</v>
      </c>
      <c r="C69" s="3" t="s">
        <v>141</v>
      </c>
      <c r="D69" s="3" t="s">
        <v>129</v>
      </c>
      <c r="E69" s="3" t="s">
        <v>181</v>
      </c>
      <c r="F69" s="3" t="s">
        <v>130</v>
      </c>
      <c r="G69" s="3" t="s">
        <v>197</v>
      </c>
      <c r="H69" s="19">
        <v>46328</v>
      </c>
      <c r="I69" s="19">
        <v>46328</v>
      </c>
      <c r="J69" s="2">
        <f t="shared" si="1"/>
        <v>1</v>
      </c>
      <c r="K69" s="2" t="s">
        <v>16</v>
      </c>
    </row>
    <row r="70" spans="1:11" ht="62.1" customHeight="1">
      <c r="A70" s="5">
        <v>69</v>
      </c>
      <c r="B70" s="6" t="s">
        <v>141</v>
      </c>
      <c r="C70" s="6" t="s">
        <v>141</v>
      </c>
      <c r="D70" s="6" t="s">
        <v>132</v>
      </c>
      <c r="E70" s="6" t="s">
        <v>181</v>
      </c>
      <c r="F70" s="6" t="s">
        <v>133</v>
      </c>
      <c r="G70" s="6" t="s">
        <v>198</v>
      </c>
      <c r="H70" s="18">
        <v>46328</v>
      </c>
      <c r="I70" s="18">
        <v>46328</v>
      </c>
      <c r="J70" s="5">
        <f t="shared" si="1"/>
        <v>1</v>
      </c>
      <c r="K70" s="5" t="s">
        <v>16</v>
      </c>
    </row>
    <row r="71" spans="1:11" ht="62.1" customHeight="1">
      <c r="A71" s="5">
        <v>70</v>
      </c>
      <c r="B71" s="3" t="s">
        <v>141</v>
      </c>
      <c r="C71" s="3" t="s">
        <v>141</v>
      </c>
      <c r="D71" s="3" t="s">
        <v>135</v>
      </c>
      <c r="E71" s="3" t="s">
        <v>181</v>
      </c>
      <c r="F71" s="3" t="s">
        <v>136</v>
      </c>
      <c r="G71" s="3" t="s">
        <v>199</v>
      </c>
      <c r="H71" s="19">
        <v>46328</v>
      </c>
      <c r="I71" s="19">
        <v>46328</v>
      </c>
      <c r="J71" s="2">
        <f t="shared" si="1"/>
        <v>1</v>
      </c>
      <c r="K71" s="2" t="s">
        <v>16</v>
      </c>
    </row>
    <row r="72" spans="1:11" ht="62.1" customHeight="1">
      <c r="A72" s="2">
        <v>71</v>
      </c>
      <c r="B72" s="6" t="s">
        <v>141</v>
      </c>
      <c r="C72" s="6" t="s">
        <v>141</v>
      </c>
      <c r="D72" s="6" t="s">
        <v>138</v>
      </c>
      <c r="E72" s="6" t="s">
        <v>181</v>
      </c>
      <c r="F72" s="6" t="s">
        <v>139</v>
      </c>
      <c r="G72" s="6" t="s">
        <v>200</v>
      </c>
      <c r="H72" s="18">
        <v>46328</v>
      </c>
      <c r="I72" s="18">
        <v>46328</v>
      </c>
      <c r="J72" s="5">
        <f t="shared" si="1"/>
        <v>1</v>
      </c>
      <c r="K72" s="5" t="s">
        <v>16</v>
      </c>
    </row>
    <row r="73" spans="1:11" ht="62.1" customHeight="1">
      <c r="A73" s="5">
        <v>72</v>
      </c>
      <c r="B73" s="3" t="s">
        <v>141</v>
      </c>
      <c r="C73" s="3" t="s">
        <v>141</v>
      </c>
      <c r="D73" s="3" t="s">
        <v>201</v>
      </c>
      <c r="E73" s="3" t="s">
        <v>202</v>
      </c>
      <c r="F73" s="3" t="s">
        <v>203</v>
      </c>
      <c r="G73" s="3" t="s">
        <v>204</v>
      </c>
      <c r="H73" s="19">
        <v>46329</v>
      </c>
      <c r="I73" s="19">
        <v>46329</v>
      </c>
      <c r="J73" s="2">
        <f t="shared" si="1"/>
        <v>1</v>
      </c>
      <c r="K73" s="2" t="s">
        <v>16</v>
      </c>
    </row>
    <row r="74" spans="1:11" ht="62.1" customHeight="1">
      <c r="A74" s="5">
        <v>73</v>
      </c>
      <c r="B74" s="6" t="s">
        <v>141</v>
      </c>
      <c r="C74" s="6" t="s">
        <v>141</v>
      </c>
      <c r="D74" s="6" t="s">
        <v>205</v>
      </c>
      <c r="E74" s="6" t="s">
        <v>206</v>
      </c>
      <c r="F74" s="6" t="s">
        <v>207</v>
      </c>
      <c r="G74" s="6" t="s">
        <v>208</v>
      </c>
      <c r="H74" s="18">
        <v>46329</v>
      </c>
      <c r="I74" s="18">
        <v>46329</v>
      </c>
      <c r="J74" s="5">
        <f t="shared" si="1"/>
        <v>1</v>
      </c>
      <c r="K74" s="5" t="s">
        <v>16</v>
      </c>
    </row>
    <row r="75" spans="1:11" ht="62.1" customHeight="1">
      <c r="A75" s="2">
        <v>74</v>
      </c>
      <c r="B75" s="3" t="s">
        <v>141</v>
      </c>
      <c r="C75" s="3" t="s">
        <v>141</v>
      </c>
      <c r="D75" s="3" t="s">
        <v>209</v>
      </c>
      <c r="E75" s="3" t="s">
        <v>210</v>
      </c>
      <c r="F75" s="3" t="s">
        <v>211</v>
      </c>
      <c r="G75" s="3" t="s">
        <v>212</v>
      </c>
      <c r="H75" s="19">
        <v>46329</v>
      </c>
      <c r="I75" s="19">
        <v>46329</v>
      </c>
      <c r="J75" s="2">
        <f t="shared" si="1"/>
        <v>1</v>
      </c>
      <c r="K75" s="2" t="s">
        <v>16</v>
      </c>
    </row>
    <row r="76" spans="1:11" ht="62.1" customHeight="1">
      <c r="A76" s="5">
        <v>75</v>
      </c>
      <c r="B76" s="6" t="s">
        <v>141</v>
      </c>
      <c r="C76" s="6" t="s">
        <v>141</v>
      </c>
      <c r="D76" s="6" t="s">
        <v>213</v>
      </c>
      <c r="E76" s="6" t="s">
        <v>214</v>
      </c>
      <c r="F76" s="6" t="s">
        <v>215</v>
      </c>
      <c r="G76" s="6" t="s">
        <v>216</v>
      </c>
      <c r="H76" s="18">
        <v>46330</v>
      </c>
      <c r="I76" s="18">
        <v>46330</v>
      </c>
      <c r="J76" s="5">
        <f t="shared" si="1"/>
        <v>1</v>
      </c>
      <c r="K76" s="5" t="s">
        <v>16</v>
      </c>
    </row>
    <row r="77" spans="1:11" ht="62.1" customHeight="1">
      <c r="A77" s="5">
        <v>76</v>
      </c>
      <c r="B77" s="3" t="s">
        <v>141</v>
      </c>
      <c r="C77" s="3" t="s">
        <v>141</v>
      </c>
      <c r="D77" s="3" t="s">
        <v>217</v>
      </c>
      <c r="E77" s="3" t="s">
        <v>218</v>
      </c>
      <c r="F77" s="3" t="s">
        <v>219</v>
      </c>
      <c r="G77" s="3" t="s">
        <v>220</v>
      </c>
      <c r="H77" s="19">
        <v>46330</v>
      </c>
      <c r="I77" s="19">
        <v>46330</v>
      </c>
      <c r="J77" s="2">
        <f t="shared" si="1"/>
        <v>1</v>
      </c>
      <c r="K77" s="2" t="s">
        <v>16</v>
      </c>
    </row>
    <row r="78" spans="1:11" ht="62.1" customHeight="1">
      <c r="A78" s="2">
        <v>77</v>
      </c>
      <c r="B78" s="6" t="s">
        <v>141</v>
      </c>
      <c r="C78" s="6" t="s">
        <v>141</v>
      </c>
      <c r="D78" s="6" t="s">
        <v>221</v>
      </c>
      <c r="E78" s="6" t="s">
        <v>222</v>
      </c>
      <c r="F78" s="6" t="s">
        <v>223</v>
      </c>
      <c r="G78" s="6" t="s">
        <v>224</v>
      </c>
      <c r="H78" s="18">
        <v>46330</v>
      </c>
      <c r="I78" s="18">
        <v>46330</v>
      </c>
      <c r="J78" s="5">
        <f t="shared" si="1"/>
        <v>1</v>
      </c>
      <c r="K78" s="5" t="s">
        <v>16</v>
      </c>
    </row>
    <row r="79" spans="1:11" ht="62.1" customHeight="1">
      <c r="A79" s="5">
        <v>78</v>
      </c>
      <c r="B79" s="3" t="s">
        <v>141</v>
      </c>
      <c r="C79" s="3" t="s">
        <v>141</v>
      </c>
      <c r="D79" s="3" t="s">
        <v>225</v>
      </c>
      <c r="E79" s="3" t="s">
        <v>222</v>
      </c>
      <c r="F79" s="3" t="s">
        <v>226</v>
      </c>
      <c r="G79" s="3" t="s">
        <v>227</v>
      </c>
      <c r="H79" s="19">
        <v>46330</v>
      </c>
      <c r="I79" s="19">
        <v>46330</v>
      </c>
      <c r="J79" s="2">
        <f t="shared" si="1"/>
        <v>1</v>
      </c>
      <c r="K79" s="2" t="s">
        <v>16</v>
      </c>
    </row>
    <row r="80" spans="1:11" ht="62.1" customHeight="1">
      <c r="A80" s="5">
        <v>79</v>
      </c>
      <c r="B80" s="6" t="s">
        <v>141</v>
      </c>
      <c r="C80" s="6" t="s">
        <v>141</v>
      </c>
      <c r="D80" s="6" t="s">
        <v>228</v>
      </c>
      <c r="E80" s="6" t="s">
        <v>229</v>
      </c>
      <c r="F80" s="6" t="s">
        <v>230</v>
      </c>
      <c r="G80" s="6" t="s">
        <v>231</v>
      </c>
      <c r="H80" s="18">
        <v>46331</v>
      </c>
      <c r="I80" s="18">
        <v>46331</v>
      </c>
      <c r="J80" s="5">
        <f t="shared" si="1"/>
        <v>1</v>
      </c>
      <c r="K80" s="5" t="s">
        <v>16</v>
      </c>
    </row>
    <row r="81" spans="1:11" ht="62.1" customHeight="1">
      <c r="A81" s="2">
        <v>80</v>
      </c>
      <c r="B81" s="3" t="s">
        <v>141</v>
      </c>
      <c r="C81" s="3" t="s">
        <v>141</v>
      </c>
      <c r="D81" s="3" t="s">
        <v>232</v>
      </c>
      <c r="E81" s="3" t="s">
        <v>233</v>
      </c>
      <c r="F81" s="3" t="s">
        <v>234</v>
      </c>
      <c r="G81" s="3" t="s">
        <v>235</v>
      </c>
      <c r="H81" s="19">
        <v>46331</v>
      </c>
      <c r="I81" s="19">
        <v>46331</v>
      </c>
      <c r="J81" s="2">
        <f t="shared" si="1"/>
        <v>1</v>
      </c>
      <c r="K81" s="2" t="s">
        <v>16</v>
      </c>
    </row>
    <row r="82" spans="1:11" ht="62.1" customHeight="1">
      <c r="A82" s="5">
        <v>81</v>
      </c>
      <c r="B82" s="6" t="s">
        <v>141</v>
      </c>
      <c r="C82" s="6" t="s">
        <v>141</v>
      </c>
      <c r="D82" s="6" t="s">
        <v>236</v>
      </c>
      <c r="E82" s="6" t="s">
        <v>237</v>
      </c>
      <c r="F82" s="6" t="s">
        <v>238</v>
      </c>
      <c r="G82" s="6" t="s">
        <v>239</v>
      </c>
      <c r="H82" s="18">
        <v>46331</v>
      </c>
      <c r="I82" s="18">
        <v>46331</v>
      </c>
      <c r="J82" s="5">
        <f t="shared" si="1"/>
        <v>1</v>
      </c>
      <c r="K82" s="5" t="s">
        <v>16</v>
      </c>
    </row>
    <row r="83" spans="1:11" ht="62.1" customHeight="1">
      <c r="A83" s="5">
        <v>82</v>
      </c>
      <c r="B83" s="3" t="s">
        <v>141</v>
      </c>
      <c r="C83" s="3" t="s">
        <v>141</v>
      </c>
      <c r="D83" s="3" t="s">
        <v>240</v>
      </c>
      <c r="E83" s="3" t="s">
        <v>241</v>
      </c>
      <c r="F83" s="3" t="s">
        <v>242</v>
      </c>
      <c r="G83" s="3" t="s">
        <v>243</v>
      </c>
      <c r="H83" s="19">
        <v>46331</v>
      </c>
      <c r="I83" s="19">
        <v>46331</v>
      </c>
      <c r="J83" s="2">
        <f t="shared" si="1"/>
        <v>1</v>
      </c>
      <c r="K83" s="2" t="s">
        <v>16</v>
      </c>
    </row>
    <row r="84" spans="1:11" ht="62.1" customHeight="1">
      <c r="A84" s="2">
        <v>83</v>
      </c>
      <c r="B84" s="6" t="s">
        <v>244</v>
      </c>
      <c r="C84" s="6" t="s">
        <v>245</v>
      </c>
      <c r="D84" s="6" t="s">
        <v>246</v>
      </c>
      <c r="E84" s="6" t="s">
        <v>247</v>
      </c>
      <c r="F84" s="6" t="s">
        <v>248</v>
      </c>
      <c r="G84" s="6" t="s">
        <v>249</v>
      </c>
      <c r="H84" s="18">
        <v>46332</v>
      </c>
      <c r="I84" s="18">
        <v>46332</v>
      </c>
      <c r="J84" s="5">
        <f t="shared" si="1"/>
        <v>1</v>
      </c>
      <c r="K84" s="5" t="s">
        <v>16</v>
      </c>
    </row>
    <row r="85" spans="1:11" ht="62.1" customHeight="1">
      <c r="A85" s="5">
        <v>84</v>
      </c>
      <c r="B85" s="3" t="s">
        <v>244</v>
      </c>
      <c r="C85" s="3" t="s">
        <v>245</v>
      </c>
      <c r="D85" s="3" t="s">
        <v>250</v>
      </c>
      <c r="E85" s="3" t="s">
        <v>251</v>
      </c>
      <c r="F85" s="3" t="s">
        <v>252</v>
      </c>
      <c r="G85" s="3" t="s">
        <v>253</v>
      </c>
      <c r="H85" s="19">
        <v>46332</v>
      </c>
      <c r="I85" s="19">
        <v>46332</v>
      </c>
      <c r="J85" s="2">
        <f t="shared" si="1"/>
        <v>1</v>
      </c>
      <c r="K85" s="2" t="s">
        <v>16</v>
      </c>
    </row>
    <row r="86" spans="1:11" ht="62.1" customHeight="1">
      <c r="A86" s="5">
        <v>85</v>
      </c>
      <c r="B86" s="6" t="s">
        <v>244</v>
      </c>
      <c r="C86" s="6" t="s">
        <v>245</v>
      </c>
      <c r="D86" s="6" t="s">
        <v>254</v>
      </c>
      <c r="E86" s="6" t="s">
        <v>255</v>
      </c>
      <c r="F86" s="6" t="s">
        <v>256</v>
      </c>
      <c r="G86" s="6" t="s">
        <v>257</v>
      </c>
      <c r="H86" s="18">
        <v>46332</v>
      </c>
      <c r="I86" s="18">
        <v>46332</v>
      </c>
      <c r="J86" s="5">
        <f t="shared" si="1"/>
        <v>1</v>
      </c>
      <c r="K86" s="5" t="s">
        <v>16</v>
      </c>
    </row>
    <row r="87" spans="1:11" ht="62.1" customHeight="1">
      <c r="A87" s="2">
        <v>86</v>
      </c>
      <c r="B87" s="3" t="s">
        <v>244</v>
      </c>
      <c r="C87" s="3" t="s">
        <v>245</v>
      </c>
      <c r="D87" s="3" t="s">
        <v>258</v>
      </c>
      <c r="E87" s="3" t="s">
        <v>259</v>
      </c>
      <c r="F87" s="3" t="s">
        <v>260</v>
      </c>
      <c r="G87" s="3" t="s">
        <v>261</v>
      </c>
      <c r="H87" s="19">
        <v>46332</v>
      </c>
      <c r="I87" s="19">
        <v>46332</v>
      </c>
      <c r="J87" s="2">
        <f t="shared" si="1"/>
        <v>1</v>
      </c>
      <c r="K87" s="2" t="s">
        <v>16</v>
      </c>
    </row>
    <row r="88" spans="1:11" ht="62.1" customHeight="1">
      <c r="A88" s="5">
        <v>87</v>
      </c>
      <c r="B88" s="6" t="s">
        <v>244</v>
      </c>
      <c r="C88" s="6" t="s">
        <v>245</v>
      </c>
      <c r="D88" s="6" t="s">
        <v>262</v>
      </c>
      <c r="E88" s="6" t="s">
        <v>263</v>
      </c>
      <c r="F88" s="6" t="s">
        <v>264</v>
      </c>
      <c r="G88" s="6" t="s">
        <v>265</v>
      </c>
      <c r="H88" s="18">
        <v>46335</v>
      </c>
      <c r="I88" s="18">
        <v>46335</v>
      </c>
      <c r="J88" s="5">
        <f t="shared" si="1"/>
        <v>1</v>
      </c>
      <c r="K88" s="5" t="s">
        <v>16</v>
      </c>
    </row>
    <row r="89" spans="1:11" ht="62.1" customHeight="1">
      <c r="A89" s="5">
        <v>88</v>
      </c>
      <c r="B89" s="3" t="s">
        <v>244</v>
      </c>
      <c r="C89" s="3" t="s">
        <v>245</v>
      </c>
      <c r="D89" s="3" t="s">
        <v>266</v>
      </c>
      <c r="E89" s="3" t="s">
        <v>267</v>
      </c>
      <c r="F89" s="3" t="s">
        <v>268</v>
      </c>
      <c r="G89" s="3" t="s">
        <v>269</v>
      </c>
      <c r="H89" s="19">
        <v>46335</v>
      </c>
      <c r="I89" s="19">
        <v>46335</v>
      </c>
      <c r="J89" s="2">
        <f t="shared" si="1"/>
        <v>1</v>
      </c>
      <c r="K89" s="2" t="s">
        <v>16</v>
      </c>
    </row>
    <row r="90" spans="1:11" ht="62.1" customHeight="1">
      <c r="A90" s="2">
        <v>89</v>
      </c>
      <c r="B90" s="6" t="s">
        <v>244</v>
      </c>
      <c r="C90" s="6" t="s">
        <v>245</v>
      </c>
      <c r="D90" s="6" t="s">
        <v>270</v>
      </c>
      <c r="E90" s="6" t="s">
        <v>271</v>
      </c>
      <c r="F90" s="6" t="s">
        <v>272</v>
      </c>
      <c r="G90" s="6" t="s">
        <v>273</v>
      </c>
      <c r="H90" s="18">
        <v>46335</v>
      </c>
      <c r="I90" s="18">
        <v>46335</v>
      </c>
      <c r="J90" s="5">
        <f t="shared" si="1"/>
        <v>1</v>
      </c>
      <c r="K90" s="5" t="s">
        <v>16</v>
      </c>
    </row>
    <row r="91" spans="1:11" ht="62.1" customHeight="1">
      <c r="A91" s="5">
        <v>90</v>
      </c>
      <c r="B91" s="3" t="s">
        <v>244</v>
      </c>
      <c r="C91" s="3" t="s">
        <v>245</v>
      </c>
      <c r="D91" s="3" t="s">
        <v>274</v>
      </c>
      <c r="E91" s="3" t="s">
        <v>275</v>
      </c>
      <c r="F91" s="3" t="s">
        <v>276</v>
      </c>
      <c r="G91" s="3" t="s">
        <v>277</v>
      </c>
      <c r="H91" s="19">
        <v>46335</v>
      </c>
      <c r="I91" s="19">
        <v>46335</v>
      </c>
      <c r="J91" s="2">
        <f t="shared" si="1"/>
        <v>1</v>
      </c>
      <c r="K91" s="2" t="s">
        <v>16</v>
      </c>
    </row>
    <row r="92" spans="1:11" ht="62.1" customHeight="1">
      <c r="A92" s="5">
        <v>91</v>
      </c>
      <c r="B92" s="6" t="s">
        <v>244</v>
      </c>
      <c r="C92" s="6" t="s">
        <v>245</v>
      </c>
      <c r="D92" s="6" t="s">
        <v>278</v>
      </c>
      <c r="E92" s="6" t="s">
        <v>279</v>
      </c>
      <c r="F92" s="6" t="s">
        <v>280</v>
      </c>
      <c r="G92" s="6" t="s">
        <v>281</v>
      </c>
      <c r="H92" s="18">
        <v>46335</v>
      </c>
      <c r="I92" s="18">
        <v>46335</v>
      </c>
      <c r="J92" s="5">
        <f t="shared" si="1"/>
        <v>1</v>
      </c>
      <c r="K92" s="5" t="s">
        <v>16</v>
      </c>
    </row>
    <row r="93" spans="1:11" ht="62.1" customHeight="1">
      <c r="A93" s="2">
        <v>92</v>
      </c>
      <c r="B93" s="3" t="s">
        <v>244</v>
      </c>
      <c r="C93" s="3" t="s">
        <v>245</v>
      </c>
      <c r="D93" s="3" t="s">
        <v>282</v>
      </c>
      <c r="E93" s="3" t="s">
        <v>283</v>
      </c>
      <c r="F93" s="3" t="s">
        <v>284</v>
      </c>
      <c r="G93" s="3" t="s">
        <v>285</v>
      </c>
      <c r="H93" s="19">
        <v>46335</v>
      </c>
      <c r="I93" s="19">
        <v>46335</v>
      </c>
      <c r="J93" s="2">
        <f t="shared" si="1"/>
        <v>1</v>
      </c>
      <c r="K93" s="2" t="s">
        <v>16</v>
      </c>
    </row>
    <row r="94" spans="1:11" ht="62.1" customHeight="1">
      <c r="A94" s="5">
        <v>93</v>
      </c>
      <c r="B94" s="6" t="s">
        <v>244</v>
      </c>
      <c r="C94" s="6" t="s">
        <v>245</v>
      </c>
      <c r="D94" s="6" t="s">
        <v>286</v>
      </c>
      <c r="E94" s="6" t="s">
        <v>287</v>
      </c>
      <c r="F94" s="6" t="s">
        <v>288</v>
      </c>
      <c r="G94" s="6" t="s">
        <v>289</v>
      </c>
      <c r="H94" s="18">
        <v>46336</v>
      </c>
      <c r="I94" s="18">
        <v>46336</v>
      </c>
      <c r="J94" s="5">
        <f t="shared" si="1"/>
        <v>1</v>
      </c>
      <c r="K94" s="5" t="s">
        <v>16</v>
      </c>
    </row>
    <row r="95" spans="1:11" ht="62.1" customHeight="1">
      <c r="A95" s="5">
        <v>94</v>
      </c>
      <c r="B95" s="3" t="s">
        <v>244</v>
      </c>
      <c r="C95" s="3" t="s">
        <v>245</v>
      </c>
      <c r="D95" s="3" t="s">
        <v>290</v>
      </c>
      <c r="E95" s="3" t="s">
        <v>291</v>
      </c>
      <c r="F95" s="3" t="s">
        <v>292</v>
      </c>
      <c r="G95" s="3" t="s">
        <v>293</v>
      </c>
      <c r="H95" s="19">
        <v>46336</v>
      </c>
      <c r="I95" s="19">
        <v>46336</v>
      </c>
      <c r="J95" s="2">
        <f t="shared" si="1"/>
        <v>1</v>
      </c>
      <c r="K95" s="2" t="s">
        <v>16</v>
      </c>
    </row>
    <row r="96" spans="1:11" ht="62.1" customHeight="1">
      <c r="A96" s="2">
        <v>95</v>
      </c>
      <c r="B96" s="6" t="s">
        <v>244</v>
      </c>
      <c r="C96" s="6" t="s">
        <v>245</v>
      </c>
      <c r="D96" s="6" t="s">
        <v>294</v>
      </c>
      <c r="E96" s="6" t="s">
        <v>295</v>
      </c>
      <c r="F96" s="6" t="s">
        <v>296</v>
      </c>
      <c r="G96" s="6" t="s">
        <v>297</v>
      </c>
      <c r="H96" s="18">
        <v>46336</v>
      </c>
      <c r="I96" s="18">
        <v>46336</v>
      </c>
      <c r="J96" s="5">
        <f t="shared" si="1"/>
        <v>1</v>
      </c>
      <c r="K96" s="5" t="s">
        <v>16</v>
      </c>
    </row>
    <row r="97" spans="1:11" ht="62.1" customHeight="1">
      <c r="A97" s="5">
        <v>96</v>
      </c>
      <c r="B97" s="3" t="s">
        <v>298</v>
      </c>
      <c r="C97" s="3" t="s">
        <v>298</v>
      </c>
      <c r="D97" s="3" t="s">
        <v>254</v>
      </c>
      <c r="E97" s="3" t="s">
        <v>299</v>
      </c>
      <c r="F97" s="3" t="s">
        <v>300</v>
      </c>
      <c r="G97" s="3" t="s">
        <v>301</v>
      </c>
      <c r="H97" s="19">
        <v>46337</v>
      </c>
      <c r="I97" s="19">
        <v>46337</v>
      </c>
      <c r="J97" s="2">
        <v>2</v>
      </c>
      <c r="K97" s="2" t="s">
        <v>16</v>
      </c>
    </row>
    <row r="98" spans="1:11" ht="62.1" customHeight="1">
      <c r="A98" s="5">
        <v>97</v>
      </c>
      <c r="B98" s="6" t="s">
        <v>298</v>
      </c>
      <c r="C98" s="6" t="s">
        <v>298</v>
      </c>
      <c r="D98" s="6" t="s">
        <v>302</v>
      </c>
      <c r="E98" s="6" t="s">
        <v>303</v>
      </c>
      <c r="F98" s="6" t="s">
        <v>304</v>
      </c>
      <c r="G98" s="6" t="s">
        <v>305</v>
      </c>
      <c r="H98" s="18">
        <v>46337</v>
      </c>
      <c r="I98" s="18">
        <v>46337</v>
      </c>
      <c r="J98" s="5">
        <v>2</v>
      </c>
      <c r="K98" s="5" t="s">
        <v>16</v>
      </c>
    </row>
    <row r="99" spans="1:11" ht="62.1" customHeight="1">
      <c r="A99" s="2">
        <v>98</v>
      </c>
      <c r="B99" s="3" t="s">
        <v>298</v>
      </c>
      <c r="C99" s="3" t="s">
        <v>298</v>
      </c>
      <c r="D99" s="3" t="s">
        <v>306</v>
      </c>
      <c r="E99" s="3" t="s">
        <v>307</v>
      </c>
      <c r="F99" s="3" t="s">
        <v>308</v>
      </c>
      <c r="G99" s="3" t="s">
        <v>309</v>
      </c>
      <c r="H99" s="19">
        <v>46337</v>
      </c>
      <c r="I99" s="19">
        <v>46337</v>
      </c>
      <c r="J99" s="2">
        <v>2</v>
      </c>
      <c r="K99" s="2" t="s">
        <v>16</v>
      </c>
    </row>
    <row r="100" spans="1:11" ht="62.1" customHeight="1">
      <c r="A100" s="5">
        <v>99</v>
      </c>
      <c r="B100" s="6" t="s">
        <v>298</v>
      </c>
      <c r="C100" s="6" t="s">
        <v>298</v>
      </c>
      <c r="D100" s="6" t="s">
        <v>310</v>
      </c>
      <c r="E100" s="6" t="s">
        <v>311</v>
      </c>
      <c r="F100" s="6" t="s">
        <v>312</v>
      </c>
      <c r="G100" s="6" t="s">
        <v>313</v>
      </c>
      <c r="H100" s="18">
        <v>46337</v>
      </c>
      <c r="I100" s="18">
        <v>46337</v>
      </c>
      <c r="J100" s="5">
        <v>2</v>
      </c>
      <c r="K100" s="5" t="s">
        <v>16</v>
      </c>
    </row>
    <row r="101" spans="1:11" ht="62.1" customHeight="1">
      <c r="A101" s="5">
        <v>100</v>
      </c>
      <c r="B101" s="3" t="s">
        <v>298</v>
      </c>
      <c r="C101" s="3" t="s">
        <v>298</v>
      </c>
      <c r="D101" s="3" t="s">
        <v>314</v>
      </c>
      <c r="E101" s="3" t="s">
        <v>315</v>
      </c>
      <c r="F101" s="3" t="s">
        <v>316</v>
      </c>
      <c r="G101" s="3" t="s">
        <v>317</v>
      </c>
      <c r="H101" s="19">
        <v>46337</v>
      </c>
      <c r="I101" s="19">
        <v>46337</v>
      </c>
      <c r="J101" s="2">
        <v>2</v>
      </c>
      <c r="K101" s="2" t="s">
        <v>16</v>
      </c>
    </row>
    <row r="102" spans="1:11" ht="62.1" customHeight="1">
      <c r="A102" s="2">
        <v>101</v>
      </c>
      <c r="B102" s="6" t="s">
        <v>298</v>
      </c>
      <c r="C102" s="6" t="s">
        <v>298</v>
      </c>
      <c r="D102" s="6" t="s">
        <v>318</v>
      </c>
      <c r="E102" s="6" t="s">
        <v>319</v>
      </c>
      <c r="F102" s="6" t="s">
        <v>320</v>
      </c>
      <c r="G102" s="6" t="s">
        <v>321</v>
      </c>
      <c r="H102" s="18">
        <v>46337</v>
      </c>
      <c r="I102" s="18">
        <v>46337</v>
      </c>
      <c r="J102" s="5">
        <v>2</v>
      </c>
      <c r="K102" s="5" t="s">
        <v>16</v>
      </c>
    </row>
    <row r="103" spans="1:11" ht="62.1" customHeight="1">
      <c r="A103" s="5">
        <v>102</v>
      </c>
      <c r="B103" s="3" t="s">
        <v>298</v>
      </c>
      <c r="C103" s="3" t="s">
        <v>298</v>
      </c>
      <c r="D103" s="3" t="s">
        <v>322</v>
      </c>
      <c r="E103" s="3" t="s">
        <v>323</v>
      </c>
      <c r="F103" s="3" t="s">
        <v>324</v>
      </c>
      <c r="G103" s="3" t="s">
        <v>325</v>
      </c>
      <c r="H103" s="19">
        <v>46338</v>
      </c>
      <c r="I103" s="19">
        <v>46338</v>
      </c>
      <c r="J103" s="2">
        <f t="shared" ref="J103:J108" si="2">NETWORKDAYS(H103,I103)</f>
        <v>1</v>
      </c>
      <c r="K103" s="2" t="s">
        <v>16</v>
      </c>
    </row>
    <row r="104" spans="1:11" ht="62.1" customHeight="1">
      <c r="A104" s="5">
        <v>103</v>
      </c>
      <c r="B104" s="6" t="s">
        <v>298</v>
      </c>
      <c r="C104" s="6" t="s">
        <v>298</v>
      </c>
      <c r="D104" s="6" t="s">
        <v>326</v>
      </c>
      <c r="E104" s="6" t="s">
        <v>327</v>
      </c>
      <c r="F104" s="6" t="s">
        <v>328</v>
      </c>
      <c r="G104" s="6" t="s">
        <v>329</v>
      </c>
      <c r="H104" s="18">
        <v>46338</v>
      </c>
      <c r="I104" s="18">
        <v>46338</v>
      </c>
      <c r="J104" s="5">
        <f t="shared" si="2"/>
        <v>1</v>
      </c>
      <c r="K104" s="5" t="s">
        <v>16</v>
      </c>
    </row>
    <row r="105" spans="1:11" ht="62.1" customHeight="1">
      <c r="A105" s="2">
        <v>104</v>
      </c>
      <c r="B105" s="3" t="s">
        <v>298</v>
      </c>
      <c r="C105" s="3" t="s">
        <v>298</v>
      </c>
      <c r="D105" s="3" t="s">
        <v>330</v>
      </c>
      <c r="E105" s="3" t="s">
        <v>331</v>
      </c>
      <c r="F105" s="3" t="s">
        <v>332</v>
      </c>
      <c r="G105" s="3" t="s">
        <v>333</v>
      </c>
      <c r="H105" s="19">
        <v>46338</v>
      </c>
      <c r="I105" s="19">
        <v>46338</v>
      </c>
      <c r="J105" s="2">
        <f t="shared" si="2"/>
        <v>1</v>
      </c>
      <c r="K105" s="2" t="s">
        <v>16</v>
      </c>
    </row>
    <row r="106" spans="1:11" ht="62.1" customHeight="1">
      <c r="A106" s="5">
        <v>105</v>
      </c>
      <c r="B106" s="6" t="s">
        <v>298</v>
      </c>
      <c r="C106" s="6" t="s">
        <v>298</v>
      </c>
      <c r="D106" s="6" t="s">
        <v>334</v>
      </c>
      <c r="E106" s="6" t="s">
        <v>335</v>
      </c>
      <c r="F106" s="6" t="s">
        <v>336</v>
      </c>
      <c r="G106" s="6" t="s">
        <v>337</v>
      </c>
      <c r="H106" s="18">
        <v>46338</v>
      </c>
      <c r="I106" s="18">
        <v>46338</v>
      </c>
      <c r="J106" s="5">
        <f t="shared" si="2"/>
        <v>1</v>
      </c>
      <c r="K106" s="5" t="s">
        <v>16</v>
      </c>
    </row>
    <row r="107" spans="1:11" ht="62.1" customHeight="1">
      <c r="A107" s="5">
        <v>106</v>
      </c>
      <c r="B107" s="3" t="s">
        <v>298</v>
      </c>
      <c r="C107" s="3" t="s">
        <v>298</v>
      </c>
      <c r="D107" s="3" t="s">
        <v>338</v>
      </c>
      <c r="E107" s="3" t="s">
        <v>339</v>
      </c>
      <c r="F107" s="3" t="s">
        <v>340</v>
      </c>
      <c r="G107" s="3" t="s">
        <v>341</v>
      </c>
      <c r="H107" s="19">
        <v>46338</v>
      </c>
      <c r="I107" s="19">
        <v>46338</v>
      </c>
      <c r="J107" s="2">
        <f t="shared" si="2"/>
        <v>1</v>
      </c>
      <c r="K107" s="2" t="s">
        <v>16</v>
      </c>
    </row>
    <row r="108" spans="1:11" ht="62.1" customHeight="1">
      <c r="A108" s="2">
        <v>107</v>
      </c>
      <c r="B108" s="6" t="s">
        <v>298</v>
      </c>
      <c r="C108" s="6" t="s">
        <v>298</v>
      </c>
      <c r="D108" s="6" t="s">
        <v>342</v>
      </c>
      <c r="E108" s="6" t="s">
        <v>343</v>
      </c>
      <c r="F108" s="6" t="s">
        <v>344</v>
      </c>
      <c r="G108" s="6" t="s">
        <v>345</v>
      </c>
      <c r="H108" s="18">
        <v>46338</v>
      </c>
      <c r="I108" s="18">
        <v>46338</v>
      </c>
      <c r="J108" s="5">
        <f t="shared" si="2"/>
        <v>1</v>
      </c>
      <c r="K108" s="5" t="s">
        <v>16</v>
      </c>
    </row>
    <row r="109" spans="1:11" ht="62.1" customHeight="1">
      <c r="A109" s="5">
        <v>108</v>
      </c>
      <c r="B109" s="3" t="s">
        <v>346</v>
      </c>
      <c r="C109" s="3" t="s">
        <v>346</v>
      </c>
      <c r="D109" s="3" t="s">
        <v>347</v>
      </c>
      <c r="E109" s="3" t="s">
        <v>348</v>
      </c>
      <c r="F109" s="3" t="s">
        <v>349</v>
      </c>
      <c r="G109" s="3" t="s">
        <v>350</v>
      </c>
      <c r="H109" s="19">
        <v>46339</v>
      </c>
      <c r="I109" s="19">
        <v>46339</v>
      </c>
      <c r="J109" s="2">
        <v>2</v>
      </c>
      <c r="K109" s="2" t="s">
        <v>16</v>
      </c>
    </row>
    <row r="110" spans="1:11" ht="62.1" customHeight="1">
      <c r="A110" s="5">
        <v>109</v>
      </c>
      <c r="B110" s="6" t="s">
        <v>346</v>
      </c>
      <c r="C110" s="6" t="s">
        <v>346</v>
      </c>
      <c r="D110" s="6" t="s">
        <v>351</v>
      </c>
      <c r="E110" s="6" t="s">
        <v>352</v>
      </c>
      <c r="F110" s="6" t="s">
        <v>353</v>
      </c>
      <c r="G110" s="6" t="s">
        <v>354</v>
      </c>
      <c r="H110" s="18">
        <v>46339</v>
      </c>
      <c r="I110" s="18">
        <v>46339</v>
      </c>
      <c r="J110" s="5">
        <v>2</v>
      </c>
      <c r="K110" s="5" t="s">
        <v>16</v>
      </c>
    </row>
    <row r="111" spans="1:11" ht="62.1" customHeight="1">
      <c r="A111" s="2">
        <v>110</v>
      </c>
      <c r="B111" s="3" t="s">
        <v>346</v>
      </c>
      <c r="C111" s="3" t="s">
        <v>346</v>
      </c>
      <c r="D111" s="3" t="s">
        <v>355</v>
      </c>
      <c r="E111" s="3" t="s">
        <v>356</v>
      </c>
      <c r="F111" s="3" t="s">
        <v>357</v>
      </c>
      <c r="G111" s="3" t="s">
        <v>358</v>
      </c>
      <c r="H111" s="19">
        <v>46339</v>
      </c>
      <c r="I111" s="19">
        <v>46339</v>
      </c>
      <c r="J111" s="2">
        <v>2</v>
      </c>
      <c r="K111" s="2" t="s">
        <v>16</v>
      </c>
    </row>
    <row r="112" spans="1:11" ht="62.1" customHeight="1">
      <c r="A112" s="5">
        <v>111</v>
      </c>
      <c r="B112" s="6" t="s">
        <v>346</v>
      </c>
      <c r="C112" s="6" t="s">
        <v>346</v>
      </c>
      <c r="D112" s="6" t="s">
        <v>359</v>
      </c>
      <c r="E112" s="6" t="s">
        <v>360</v>
      </c>
      <c r="F112" s="6" t="s">
        <v>361</v>
      </c>
      <c r="G112" s="6" t="s">
        <v>362</v>
      </c>
      <c r="H112" s="18">
        <v>46339</v>
      </c>
      <c r="I112" s="18">
        <v>46339</v>
      </c>
      <c r="J112" s="5">
        <v>2</v>
      </c>
      <c r="K112" s="5" t="s">
        <v>16</v>
      </c>
    </row>
    <row r="113" spans="1:11" ht="62.1" customHeight="1">
      <c r="A113" s="5">
        <v>112</v>
      </c>
      <c r="B113" s="3" t="s">
        <v>346</v>
      </c>
      <c r="C113" s="3" t="s">
        <v>346</v>
      </c>
      <c r="D113" s="3" t="s">
        <v>363</v>
      </c>
      <c r="E113" s="3" t="s">
        <v>364</v>
      </c>
      <c r="F113" s="3" t="s">
        <v>365</v>
      </c>
      <c r="G113" s="3" t="s">
        <v>366</v>
      </c>
      <c r="H113" s="19">
        <v>46339</v>
      </c>
      <c r="I113" s="19">
        <v>46339</v>
      </c>
      <c r="J113" s="2">
        <v>2</v>
      </c>
      <c r="K113" s="2" t="s">
        <v>16</v>
      </c>
    </row>
    <row r="114" spans="1:11" ht="62.1" customHeight="1">
      <c r="A114" s="2">
        <v>113</v>
      </c>
      <c r="B114" s="6" t="s">
        <v>346</v>
      </c>
      <c r="C114" s="6" t="s">
        <v>346</v>
      </c>
      <c r="D114" s="6" t="s">
        <v>367</v>
      </c>
      <c r="E114" s="6" t="s">
        <v>368</v>
      </c>
      <c r="F114" s="6" t="s">
        <v>369</v>
      </c>
      <c r="G114" s="6" t="s">
        <v>370</v>
      </c>
      <c r="H114" s="18">
        <v>46339</v>
      </c>
      <c r="I114" s="18">
        <v>46339</v>
      </c>
      <c r="J114" s="5">
        <v>2</v>
      </c>
      <c r="K114" s="5" t="s">
        <v>16</v>
      </c>
    </row>
    <row r="115" spans="1:11" ht="62.1" customHeight="1">
      <c r="A115" s="5">
        <v>114</v>
      </c>
      <c r="B115" s="3" t="s">
        <v>346</v>
      </c>
      <c r="C115" s="3" t="s">
        <v>346</v>
      </c>
      <c r="D115" s="3" t="s">
        <v>371</v>
      </c>
      <c r="E115" s="3" t="s">
        <v>372</v>
      </c>
      <c r="F115" s="3" t="s">
        <v>373</v>
      </c>
      <c r="G115" s="3" t="s">
        <v>374</v>
      </c>
      <c r="H115" s="19">
        <v>46339</v>
      </c>
      <c r="I115" s="19">
        <v>46339</v>
      </c>
      <c r="J115" s="2">
        <v>2</v>
      </c>
      <c r="K115" s="2" t="s">
        <v>16</v>
      </c>
    </row>
    <row r="116" spans="1:11" ht="62.1" customHeight="1">
      <c r="A116" s="5">
        <v>115</v>
      </c>
      <c r="B116" s="6" t="s">
        <v>346</v>
      </c>
      <c r="C116" s="6" t="s">
        <v>346</v>
      </c>
      <c r="D116" s="6" t="s">
        <v>375</v>
      </c>
      <c r="E116" s="6" t="s">
        <v>376</v>
      </c>
      <c r="F116" s="6" t="s">
        <v>377</v>
      </c>
      <c r="G116" s="6" t="s">
        <v>378</v>
      </c>
      <c r="H116" s="18">
        <v>46342</v>
      </c>
      <c r="I116" s="18">
        <v>46342</v>
      </c>
      <c r="J116" s="5">
        <v>2</v>
      </c>
      <c r="K116" s="5" t="s">
        <v>16</v>
      </c>
    </row>
    <row r="117" spans="1:11" ht="62.1" customHeight="1">
      <c r="A117" s="2">
        <v>116</v>
      </c>
      <c r="B117" s="3" t="s">
        <v>346</v>
      </c>
      <c r="C117" s="3" t="s">
        <v>346</v>
      </c>
      <c r="D117" s="3" t="s">
        <v>379</v>
      </c>
      <c r="E117" s="3" t="s">
        <v>380</v>
      </c>
      <c r="F117" s="3" t="s">
        <v>381</v>
      </c>
      <c r="G117" s="3" t="s">
        <v>382</v>
      </c>
      <c r="H117" s="19">
        <v>46342</v>
      </c>
      <c r="I117" s="19">
        <v>46342</v>
      </c>
      <c r="J117" s="2">
        <f t="shared" ref="J117:J142" si="3">NETWORKDAYS(H117,I117)</f>
        <v>1</v>
      </c>
      <c r="K117" s="2" t="s">
        <v>16</v>
      </c>
    </row>
    <row r="118" spans="1:11" ht="62.1" customHeight="1">
      <c r="A118" s="5">
        <v>117</v>
      </c>
      <c r="B118" s="6" t="s">
        <v>346</v>
      </c>
      <c r="C118" s="6" t="s">
        <v>346</v>
      </c>
      <c r="D118" s="6" t="s">
        <v>383</v>
      </c>
      <c r="E118" s="6" t="s">
        <v>384</v>
      </c>
      <c r="F118" s="6" t="s">
        <v>385</v>
      </c>
      <c r="G118" s="6" t="s">
        <v>386</v>
      </c>
      <c r="H118" s="18">
        <v>46342</v>
      </c>
      <c r="I118" s="18">
        <v>46342</v>
      </c>
      <c r="J118" s="5">
        <f t="shared" si="3"/>
        <v>1</v>
      </c>
      <c r="K118" s="5" t="s">
        <v>16</v>
      </c>
    </row>
    <row r="119" spans="1:11" ht="62.1" customHeight="1">
      <c r="A119" s="5">
        <v>118</v>
      </c>
      <c r="B119" s="3" t="s">
        <v>346</v>
      </c>
      <c r="C119" s="3" t="s">
        <v>346</v>
      </c>
      <c r="D119" s="3" t="s">
        <v>387</v>
      </c>
      <c r="E119" s="3" t="s">
        <v>388</v>
      </c>
      <c r="F119" s="3" t="s">
        <v>389</v>
      </c>
      <c r="G119" s="3" t="s">
        <v>390</v>
      </c>
      <c r="H119" s="19">
        <v>46342</v>
      </c>
      <c r="I119" s="19">
        <v>46342</v>
      </c>
      <c r="J119" s="2">
        <f t="shared" si="3"/>
        <v>1</v>
      </c>
      <c r="K119" s="2" t="s">
        <v>16</v>
      </c>
    </row>
    <row r="120" spans="1:11" ht="62.1" customHeight="1">
      <c r="A120" s="2">
        <v>119</v>
      </c>
      <c r="B120" s="6" t="s">
        <v>346</v>
      </c>
      <c r="C120" s="6" t="s">
        <v>346</v>
      </c>
      <c r="D120" s="6" t="s">
        <v>391</v>
      </c>
      <c r="E120" s="6" t="s">
        <v>392</v>
      </c>
      <c r="F120" s="6" t="s">
        <v>393</v>
      </c>
      <c r="G120" s="6" t="s">
        <v>394</v>
      </c>
      <c r="H120" s="18">
        <v>46342</v>
      </c>
      <c r="I120" s="18">
        <v>46342</v>
      </c>
      <c r="J120" s="5">
        <f t="shared" si="3"/>
        <v>1</v>
      </c>
      <c r="K120" s="5" t="s">
        <v>16</v>
      </c>
    </row>
    <row r="121" spans="1:11" ht="62.1" customHeight="1">
      <c r="A121" s="5">
        <v>120</v>
      </c>
      <c r="B121" s="3" t="s">
        <v>346</v>
      </c>
      <c r="C121" s="3" t="s">
        <v>346</v>
      </c>
      <c r="D121" s="3" t="s">
        <v>395</v>
      </c>
      <c r="E121" s="3" t="s">
        <v>396</v>
      </c>
      <c r="F121" s="3" t="s">
        <v>397</v>
      </c>
      <c r="G121" s="3" t="s">
        <v>398</v>
      </c>
      <c r="H121" s="19">
        <v>46342</v>
      </c>
      <c r="I121" s="19">
        <v>46342</v>
      </c>
      <c r="J121" s="2">
        <f t="shared" si="3"/>
        <v>1</v>
      </c>
      <c r="K121" s="2" t="s">
        <v>16</v>
      </c>
    </row>
    <row r="122" spans="1:11" ht="62.1" customHeight="1">
      <c r="A122" s="5">
        <v>121</v>
      </c>
      <c r="B122" s="6" t="s">
        <v>346</v>
      </c>
      <c r="C122" s="6" t="s">
        <v>346</v>
      </c>
      <c r="D122" s="6" t="s">
        <v>399</v>
      </c>
      <c r="E122" s="6" t="s">
        <v>400</v>
      </c>
      <c r="F122" s="6" t="s">
        <v>401</v>
      </c>
      <c r="G122" s="6" t="s">
        <v>402</v>
      </c>
      <c r="H122" s="18">
        <v>46343</v>
      </c>
      <c r="I122" s="18">
        <v>46343</v>
      </c>
      <c r="J122" s="5">
        <f t="shared" si="3"/>
        <v>1</v>
      </c>
      <c r="K122" s="5" t="s">
        <v>16</v>
      </c>
    </row>
    <row r="123" spans="1:11" ht="62.1" customHeight="1">
      <c r="A123" s="2">
        <v>122</v>
      </c>
      <c r="B123" s="3" t="s">
        <v>346</v>
      </c>
      <c r="C123" s="3" t="s">
        <v>346</v>
      </c>
      <c r="D123" s="3" t="s">
        <v>403</v>
      </c>
      <c r="E123" s="3" t="s">
        <v>404</v>
      </c>
      <c r="F123" s="3" t="s">
        <v>405</v>
      </c>
      <c r="G123" s="3" t="s">
        <v>406</v>
      </c>
      <c r="H123" s="19">
        <v>46343</v>
      </c>
      <c r="I123" s="19">
        <v>46343</v>
      </c>
      <c r="J123" s="2">
        <f t="shared" si="3"/>
        <v>1</v>
      </c>
      <c r="K123" s="2" t="s">
        <v>16</v>
      </c>
    </row>
    <row r="124" spans="1:11" ht="62.1" customHeight="1">
      <c r="A124" s="5">
        <v>123</v>
      </c>
      <c r="B124" s="6" t="s">
        <v>346</v>
      </c>
      <c r="C124" s="6" t="s">
        <v>346</v>
      </c>
      <c r="D124" s="6" t="s">
        <v>407</v>
      </c>
      <c r="E124" s="6" t="s">
        <v>408</v>
      </c>
      <c r="F124" s="6" t="s">
        <v>409</v>
      </c>
      <c r="G124" s="6" t="s">
        <v>410</v>
      </c>
      <c r="H124" s="18">
        <v>46343</v>
      </c>
      <c r="I124" s="18">
        <v>46343</v>
      </c>
      <c r="J124" s="5">
        <f t="shared" si="3"/>
        <v>1</v>
      </c>
      <c r="K124" s="5" t="s">
        <v>16</v>
      </c>
    </row>
    <row r="125" spans="1:11" ht="62.1" customHeight="1">
      <c r="A125" s="5">
        <v>124</v>
      </c>
      <c r="B125" s="3" t="s">
        <v>346</v>
      </c>
      <c r="C125" s="3" t="s">
        <v>346</v>
      </c>
      <c r="D125" s="3" t="s">
        <v>411</v>
      </c>
      <c r="E125" s="3" t="s">
        <v>412</v>
      </c>
      <c r="F125" s="3" t="s">
        <v>413</v>
      </c>
      <c r="G125" s="3" t="s">
        <v>414</v>
      </c>
      <c r="H125" s="19">
        <v>46343</v>
      </c>
      <c r="I125" s="19">
        <v>46343</v>
      </c>
      <c r="J125" s="2">
        <f t="shared" si="3"/>
        <v>1</v>
      </c>
      <c r="K125" s="2" t="s">
        <v>16</v>
      </c>
    </row>
    <row r="126" spans="1:11" ht="62.1" customHeight="1">
      <c r="A126" s="2">
        <v>125</v>
      </c>
      <c r="B126" s="6" t="s">
        <v>346</v>
      </c>
      <c r="C126" s="6" t="s">
        <v>346</v>
      </c>
      <c r="D126" s="6" t="s">
        <v>415</v>
      </c>
      <c r="E126" s="6" t="s">
        <v>416</v>
      </c>
      <c r="F126" s="6" t="s">
        <v>417</v>
      </c>
      <c r="G126" s="6" t="s">
        <v>418</v>
      </c>
      <c r="H126" s="18">
        <v>46343</v>
      </c>
      <c r="I126" s="18">
        <v>46343</v>
      </c>
      <c r="J126" s="5">
        <f t="shared" si="3"/>
        <v>1</v>
      </c>
      <c r="K126" s="5" t="s">
        <v>16</v>
      </c>
    </row>
    <row r="127" spans="1:11" ht="62.1" customHeight="1">
      <c r="A127" s="5">
        <v>126</v>
      </c>
      <c r="B127" s="3" t="s">
        <v>346</v>
      </c>
      <c r="C127" s="3" t="s">
        <v>346</v>
      </c>
      <c r="D127" s="3" t="s">
        <v>419</v>
      </c>
      <c r="E127" s="3" t="s">
        <v>420</v>
      </c>
      <c r="F127" s="3" t="s">
        <v>421</v>
      </c>
      <c r="G127" s="3" t="s">
        <v>422</v>
      </c>
      <c r="H127" s="19">
        <v>46344</v>
      </c>
      <c r="I127" s="19">
        <v>46344</v>
      </c>
      <c r="J127" s="2">
        <f t="shared" si="3"/>
        <v>1</v>
      </c>
      <c r="K127" s="2" t="s">
        <v>16</v>
      </c>
    </row>
    <row r="128" spans="1:11" ht="62.1" customHeight="1">
      <c r="A128" s="5">
        <v>127</v>
      </c>
      <c r="B128" s="6" t="s">
        <v>346</v>
      </c>
      <c r="C128" s="6" t="s">
        <v>346</v>
      </c>
      <c r="D128" s="6" t="s">
        <v>423</v>
      </c>
      <c r="E128" s="6" t="s">
        <v>424</v>
      </c>
      <c r="F128" s="6" t="s">
        <v>425</v>
      </c>
      <c r="G128" s="6" t="s">
        <v>426</v>
      </c>
      <c r="H128" s="18">
        <v>46344</v>
      </c>
      <c r="I128" s="18">
        <v>46344</v>
      </c>
      <c r="J128" s="5">
        <f t="shared" si="3"/>
        <v>1</v>
      </c>
      <c r="K128" s="5" t="s">
        <v>16</v>
      </c>
    </row>
    <row r="129" spans="1:11" ht="62.1" customHeight="1">
      <c r="A129" s="2">
        <v>128</v>
      </c>
      <c r="B129" s="3" t="s">
        <v>346</v>
      </c>
      <c r="C129" s="3" t="s">
        <v>346</v>
      </c>
      <c r="D129" s="3" t="s">
        <v>427</v>
      </c>
      <c r="E129" s="3" t="s">
        <v>428</v>
      </c>
      <c r="F129" s="3" t="s">
        <v>429</v>
      </c>
      <c r="G129" s="3" t="s">
        <v>430</v>
      </c>
      <c r="H129" s="19">
        <v>46344</v>
      </c>
      <c r="I129" s="19">
        <v>46344</v>
      </c>
      <c r="J129" s="2">
        <f t="shared" si="3"/>
        <v>1</v>
      </c>
      <c r="K129" s="2" t="s">
        <v>16</v>
      </c>
    </row>
    <row r="130" spans="1:11" ht="62.1" customHeight="1">
      <c r="A130" s="5">
        <v>129</v>
      </c>
      <c r="B130" s="6" t="s">
        <v>346</v>
      </c>
      <c r="C130" s="6" t="s">
        <v>346</v>
      </c>
      <c r="D130" s="6" t="s">
        <v>431</v>
      </c>
      <c r="E130" s="6" t="s">
        <v>432</v>
      </c>
      <c r="F130" s="6" t="s">
        <v>433</v>
      </c>
      <c r="G130" s="6" t="s">
        <v>434</v>
      </c>
      <c r="H130" s="18">
        <v>46344</v>
      </c>
      <c r="I130" s="18">
        <v>46344</v>
      </c>
      <c r="J130" s="5">
        <f t="shared" si="3"/>
        <v>1</v>
      </c>
      <c r="K130" s="5" t="s">
        <v>16</v>
      </c>
    </row>
    <row r="131" spans="1:11" ht="62.1" customHeight="1">
      <c r="A131" s="5">
        <v>130</v>
      </c>
      <c r="B131" s="3" t="s">
        <v>346</v>
      </c>
      <c r="C131" s="3" t="s">
        <v>346</v>
      </c>
      <c r="D131" s="3" t="s">
        <v>435</v>
      </c>
      <c r="E131" s="3" t="s">
        <v>436</v>
      </c>
      <c r="F131" s="3" t="s">
        <v>437</v>
      </c>
      <c r="G131" s="3" t="s">
        <v>438</v>
      </c>
      <c r="H131" s="19">
        <v>46344</v>
      </c>
      <c r="I131" s="19">
        <v>46344</v>
      </c>
      <c r="J131" s="2">
        <f t="shared" si="3"/>
        <v>1</v>
      </c>
      <c r="K131" s="2" t="s">
        <v>16</v>
      </c>
    </row>
    <row r="132" spans="1:11" ht="62.1" customHeight="1">
      <c r="A132" s="2">
        <v>131</v>
      </c>
      <c r="B132" s="6" t="s">
        <v>346</v>
      </c>
      <c r="C132" s="6" t="s">
        <v>346</v>
      </c>
      <c r="D132" s="6" t="s">
        <v>439</v>
      </c>
      <c r="E132" s="6" t="s">
        <v>440</v>
      </c>
      <c r="F132" s="6" t="s">
        <v>441</v>
      </c>
      <c r="G132" s="6" t="s">
        <v>442</v>
      </c>
      <c r="H132" s="18">
        <v>46344</v>
      </c>
      <c r="I132" s="18">
        <v>46344</v>
      </c>
      <c r="J132" s="5">
        <f t="shared" si="3"/>
        <v>1</v>
      </c>
      <c r="K132" s="5" t="s">
        <v>16</v>
      </c>
    </row>
    <row r="133" spans="1:11" ht="62.1" customHeight="1">
      <c r="A133" s="5">
        <v>132</v>
      </c>
      <c r="B133" s="3" t="s">
        <v>346</v>
      </c>
      <c r="C133" s="3" t="s">
        <v>346</v>
      </c>
      <c r="D133" s="3" t="s">
        <v>443</v>
      </c>
      <c r="E133" s="3" t="s">
        <v>444</v>
      </c>
      <c r="F133" s="3" t="s">
        <v>445</v>
      </c>
      <c r="G133" s="3" t="s">
        <v>446</v>
      </c>
      <c r="H133" s="19">
        <v>46345</v>
      </c>
      <c r="I133" s="19">
        <v>46345</v>
      </c>
      <c r="J133" s="2">
        <f t="shared" si="3"/>
        <v>1</v>
      </c>
      <c r="K133" s="2" t="s">
        <v>16</v>
      </c>
    </row>
    <row r="134" spans="1:11" ht="62.1" customHeight="1">
      <c r="A134" s="5">
        <v>133</v>
      </c>
      <c r="B134" s="6" t="s">
        <v>346</v>
      </c>
      <c r="C134" s="6" t="s">
        <v>346</v>
      </c>
      <c r="D134" s="6" t="s">
        <v>447</v>
      </c>
      <c r="E134" s="6" t="s">
        <v>448</v>
      </c>
      <c r="F134" s="6" t="s">
        <v>449</v>
      </c>
      <c r="G134" s="6" t="s">
        <v>450</v>
      </c>
      <c r="H134" s="18">
        <v>46345</v>
      </c>
      <c r="I134" s="18">
        <v>46345</v>
      </c>
      <c r="J134" s="5">
        <f t="shared" si="3"/>
        <v>1</v>
      </c>
      <c r="K134" s="5" t="s">
        <v>16</v>
      </c>
    </row>
    <row r="135" spans="1:11" ht="62.1" customHeight="1">
      <c r="A135" s="2">
        <v>134</v>
      </c>
      <c r="B135" s="3" t="s">
        <v>346</v>
      </c>
      <c r="C135" s="3" t="s">
        <v>346</v>
      </c>
      <c r="D135" s="3" t="s">
        <v>451</v>
      </c>
      <c r="E135" s="3" t="s">
        <v>452</v>
      </c>
      <c r="F135" s="3" t="s">
        <v>453</v>
      </c>
      <c r="G135" s="3" t="s">
        <v>454</v>
      </c>
      <c r="H135" s="19">
        <v>46345</v>
      </c>
      <c r="I135" s="19">
        <v>46345</v>
      </c>
      <c r="J135" s="2">
        <f t="shared" si="3"/>
        <v>1</v>
      </c>
      <c r="K135" s="2" t="s">
        <v>16</v>
      </c>
    </row>
    <row r="136" spans="1:11" ht="62.1" customHeight="1">
      <c r="A136" s="5">
        <v>135</v>
      </c>
      <c r="B136" s="6" t="s">
        <v>346</v>
      </c>
      <c r="C136" s="6" t="s">
        <v>346</v>
      </c>
      <c r="D136" s="6" t="s">
        <v>455</v>
      </c>
      <c r="E136" s="6" t="s">
        <v>456</v>
      </c>
      <c r="F136" s="6" t="s">
        <v>457</v>
      </c>
      <c r="G136" s="6" t="s">
        <v>458</v>
      </c>
      <c r="H136" s="18">
        <v>46345</v>
      </c>
      <c r="I136" s="18">
        <v>46345</v>
      </c>
      <c r="J136" s="5">
        <f t="shared" si="3"/>
        <v>1</v>
      </c>
      <c r="K136" s="5" t="s">
        <v>16</v>
      </c>
    </row>
    <row r="137" spans="1:11" ht="62.1" customHeight="1">
      <c r="A137" s="5">
        <v>136</v>
      </c>
      <c r="B137" s="3" t="s">
        <v>346</v>
      </c>
      <c r="C137" s="3" t="s">
        <v>346</v>
      </c>
      <c r="D137" s="3" t="s">
        <v>459</v>
      </c>
      <c r="E137" s="3" t="s">
        <v>460</v>
      </c>
      <c r="F137" s="3" t="s">
        <v>461</v>
      </c>
      <c r="G137" s="3" t="s">
        <v>462</v>
      </c>
      <c r="H137" s="19">
        <v>46345</v>
      </c>
      <c r="I137" s="19">
        <v>46345</v>
      </c>
      <c r="J137" s="2">
        <f t="shared" si="3"/>
        <v>1</v>
      </c>
      <c r="K137" s="2" t="s">
        <v>16</v>
      </c>
    </row>
    <row r="138" spans="1:11" ht="62.1" customHeight="1">
      <c r="A138" s="2">
        <v>137</v>
      </c>
      <c r="B138" s="6" t="s">
        <v>346</v>
      </c>
      <c r="C138" s="6" t="s">
        <v>346</v>
      </c>
      <c r="D138" s="6" t="s">
        <v>463</v>
      </c>
      <c r="E138" s="6" t="s">
        <v>464</v>
      </c>
      <c r="F138" s="6" t="s">
        <v>465</v>
      </c>
      <c r="G138" s="6" t="s">
        <v>466</v>
      </c>
      <c r="H138" s="18">
        <v>46345</v>
      </c>
      <c r="I138" s="18">
        <v>46345</v>
      </c>
      <c r="J138" s="5">
        <f t="shared" si="3"/>
        <v>1</v>
      </c>
      <c r="K138" s="5" t="s">
        <v>16</v>
      </c>
    </row>
    <row r="139" spans="1:11" ht="62.1" customHeight="1">
      <c r="A139" s="5">
        <v>138</v>
      </c>
      <c r="B139" s="3" t="s">
        <v>346</v>
      </c>
      <c r="C139" s="3" t="s">
        <v>346</v>
      </c>
      <c r="D139" s="3" t="s">
        <v>467</v>
      </c>
      <c r="E139" s="3" t="s">
        <v>468</v>
      </c>
      <c r="F139" s="3" t="s">
        <v>469</v>
      </c>
      <c r="G139" s="3" t="s">
        <v>470</v>
      </c>
      <c r="H139" s="19">
        <v>46345</v>
      </c>
      <c r="I139" s="19">
        <v>46345</v>
      </c>
      <c r="J139" s="2">
        <f t="shared" si="3"/>
        <v>1</v>
      </c>
      <c r="K139" s="2" t="s">
        <v>16</v>
      </c>
    </row>
    <row r="140" spans="1:11" ht="62.1" customHeight="1">
      <c r="A140" s="5">
        <v>139</v>
      </c>
      <c r="B140" s="6" t="s">
        <v>346</v>
      </c>
      <c r="C140" s="6" t="s">
        <v>346</v>
      </c>
      <c r="D140" s="6" t="s">
        <v>471</v>
      </c>
      <c r="E140" s="6" t="s">
        <v>472</v>
      </c>
      <c r="F140" s="6" t="s">
        <v>473</v>
      </c>
      <c r="G140" s="6" t="s">
        <v>474</v>
      </c>
      <c r="H140" s="18">
        <v>46345</v>
      </c>
      <c r="I140" s="18">
        <v>46345</v>
      </c>
      <c r="J140" s="5">
        <f t="shared" si="3"/>
        <v>1</v>
      </c>
      <c r="K140" s="5" t="s">
        <v>16</v>
      </c>
    </row>
    <row r="141" spans="1:11" ht="62.1" customHeight="1">
      <c r="A141" s="2">
        <v>140</v>
      </c>
      <c r="B141" s="3" t="s">
        <v>346</v>
      </c>
      <c r="C141" s="3" t="s">
        <v>346</v>
      </c>
      <c r="D141" s="3" t="s">
        <v>475</v>
      </c>
      <c r="E141" s="3" t="s">
        <v>476</v>
      </c>
      <c r="F141" s="3" t="s">
        <v>477</v>
      </c>
      <c r="G141" s="3" t="s">
        <v>478</v>
      </c>
      <c r="H141" s="19">
        <v>46345</v>
      </c>
      <c r="I141" s="19">
        <v>46345</v>
      </c>
      <c r="J141" s="2">
        <f t="shared" si="3"/>
        <v>1</v>
      </c>
      <c r="K141" s="2" t="s">
        <v>16</v>
      </c>
    </row>
    <row r="142" spans="1:11" ht="62.1" customHeight="1">
      <c r="A142" s="5">
        <v>141</v>
      </c>
      <c r="B142" s="6" t="s">
        <v>346</v>
      </c>
      <c r="C142" s="6" t="s">
        <v>346</v>
      </c>
      <c r="D142" s="6" t="s">
        <v>479</v>
      </c>
      <c r="E142" s="6" t="s">
        <v>480</v>
      </c>
      <c r="F142" s="6" t="s">
        <v>481</v>
      </c>
      <c r="G142" s="6" t="s">
        <v>482</v>
      </c>
      <c r="H142" s="18">
        <v>46345</v>
      </c>
      <c r="I142" s="18">
        <v>46345</v>
      </c>
      <c r="J142" s="5">
        <f t="shared" si="3"/>
        <v>1</v>
      </c>
      <c r="K142" s="5" t="s">
        <v>16</v>
      </c>
    </row>
    <row r="143" spans="1:11" ht="62.1" customHeight="1">
      <c r="A143" s="5">
        <v>142</v>
      </c>
      <c r="B143" s="3" t="s">
        <v>483</v>
      </c>
      <c r="C143" s="3" t="s">
        <v>483</v>
      </c>
      <c r="D143" s="3" t="s">
        <v>484</v>
      </c>
      <c r="E143" s="3" t="s">
        <v>485</v>
      </c>
      <c r="F143" s="3" t="s">
        <v>486</v>
      </c>
      <c r="G143" s="3" t="s">
        <v>487</v>
      </c>
      <c r="H143" s="19">
        <v>46346</v>
      </c>
      <c r="I143" s="19">
        <v>46346</v>
      </c>
      <c r="J143" s="2">
        <v>2</v>
      </c>
      <c r="K143" s="2" t="s">
        <v>16</v>
      </c>
    </row>
    <row r="144" spans="1:11" ht="62.1" customHeight="1">
      <c r="A144" s="2">
        <v>143</v>
      </c>
      <c r="B144" s="6" t="s">
        <v>483</v>
      </c>
      <c r="C144" s="6" t="s">
        <v>483</v>
      </c>
      <c r="D144" s="6" t="s">
        <v>488</v>
      </c>
      <c r="E144" s="6" t="s">
        <v>489</v>
      </c>
      <c r="F144" s="6" t="s">
        <v>490</v>
      </c>
      <c r="G144" s="6" t="s">
        <v>491</v>
      </c>
      <c r="H144" s="18">
        <v>46346</v>
      </c>
      <c r="I144" s="18">
        <v>46346</v>
      </c>
      <c r="J144" s="5">
        <v>2</v>
      </c>
      <c r="K144" s="5" t="s">
        <v>16</v>
      </c>
    </row>
    <row r="145" spans="1:11" ht="62.1" customHeight="1">
      <c r="A145" s="5">
        <v>144</v>
      </c>
      <c r="B145" s="3" t="s">
        <v>483</v>
      </c>
      <c r="C145" s="3" t="s">
        <v>483</v>
      </c>
      <c r="D145" s="3" t="s">
        <v>492</v>
      </c>
      <c r="E145" s="3" t="s">
        <v>493</v>
      </c>
      <c r="F145" s="3" t="s">
        <v>494</v>
      </c>
      <c r="G145" s="3" t="s">
        <v>495</v>
      </c>
      <c r="H145" s="19">
        <v>46346</v>
      </c>
      <c r="I145" s="19">
        <v>46346</v>
      </c>
      <c r="J145" s="2">
        <v>2</v>
      </c>
      <c r="K145" s="2" t="s">
        <v>16</v>
      </c>
    </row>
    <row r="146" spans="1:11" ht="62.1" customHeight="1">
      <c r="A146" s="5">
        <v>145</v>
      </c>
      <c r="B146" s="6" t="s">
        <v>483</v>
      </c>
      <c r="C146" s="6" t="s">
        <v>483</v>
      </c>
      <c r="D146" s="6" t="s">
        <v>496</v>
      </c>
      <c r="E146" s="6" t="s">
        <v>497</v>
      </c>
      <c r="F146" s="6" t="s">
        <v>498</v>
      </c>
      <c r="G146" s="6" t="s">
        <v>499</v>
      </c>
      <c r="H146" s="18">
        <v>46346</v>
      </c>
      <c r="I146" s="18">
        <v>46346</v>
      </c>
      <c r="J146" s="5">
        <v>2</v>
      </c>
      <c r="K146" s="5" t="s">
        <v>16</v>
      </c>
    </row>
    <row r="147" spans="1:11" ht="62.1" customHeight="1">
      <c r="A147" s="2">
        <v>146</v>
      </c>
      <c r="B147" s="3" t="s">
        <v>483</v>
      </c>
      <c r="C147" s="3" t="s">
        <v>483</v>
      </c>
      <c r="D147" s="3" t="s">
        <v>500</v>
      </c>
      <c r="E147" s="3" t="s">
        <v>501</v>
      </c>
      <c r="F147" s="3" t="s">
        <v>502</v>
      </c>
      <c r="G147" s="3" t="s">
        <v>503</v>
      </c>
      <c r="H147" s="19">
        <v>46346</v>
      </c>
      <c r="I147" s="19">
        <v>46346</v>
      </c>
      <c r="J147" s="2">
        <v>2</v>
      </c>
      <c r="K147" s="2" t="s">
        <v>16</v>
      </c>
    </row>
    <row r="148" spans="1:11" ht="62.1" customHeight="1">
      <c r="A148" s="5">
        <v>147</v>
      </c>
      <c r="B148" s="6" t="s">
        <v>483</v>
      </c>
      <c r="C148" s="6" t="s">
        <v>483</v>
      </c>
      <c r="D148" s="6" t="s">
        <v>504</v>
      </c>
      <c r="E148" s="6" t="s">
        <v>505</v>
      </c>
      <c r="F148" s="6" t="s">
        <v>506</v>
      </c>
      <c r="G148" s="6" t="s">
        <v>507</v>
      </c>
      <c r="H148" s="18">
        <v>46346</v>
      </c>
      <c r="I148" s="18">
        <v>46346</v>
      </c>
      <c r="J148" s="5">
        <v>2</v>
      </c>
      <c r="K148" s="5" t="s">
        <v>16</v>
      </c>
    </row>
    <row r="149" spans="1:11" ht="62.1" customHeight="1">
      <c r="A149" s="5">
        <v>148</v>
      </c>
      <c r="B149" s="3" t="s">
        <v>483</v>
      </c>
      <c r="C149" s="3" t="s">
        <v>483</v>
      </c>
      <c r="D149" s="3" t="s">
        <v>508</v>
      </c>
      <c r="E149" s="3" t="s">
        <v>509</v>
      </c>
      <c r="F149" s="3" t="s">
        <v>510</v>
      </c>
      <c r="G149" s="3" t="s">
        <v>511</v>
      </c>
      <c r="H149" s="19">
        <v>46346</v>
      </c>
      <c r="I149" s="19">
        <v>46346</v>
      </c>
      <c r="J149" s="2">
        <v>2</v>
      </c>
      <c r="K149" s="2" t="s">
        <v>16</v>
      </c>
    </row>
    <row r="150" spans="1:11" ht="62.1" customHeight="1">
      <c r="A150" s="2">
        <v>149</v>
      </c>
      <c r="B150" s="6" t="s">
        <v>483</v>
      </c>
      <c r="C150" s="6" t="s">
        <v>483</v>
      </c>
      <c r="D150" s="6" t="s">
        <v>84</v>
      </c>
      <c r="E150" s="6" t="s">
        <v>501</v>
      </c>
      <c r="F150" s="6" t="s">
        <v>85</v>
      </c>
      <c r="G150" s="6" t="s">
        <v>512</v>
      </c>
      <c r="H150" s="18">
        <v>46349</v>
      </c>
      <c r="I150" s="18">
        <v>46350</v>
      </c>
      <c r="J150" s="5">
        <v>2</v>
      </c>
      <c r="K150" s="5" t="s">
        <v>16</v>
      </c>
    </row>
    <row r="151" spans="1:11" ht="62.1" customHeight="1">
      <c r="A151" s="5">
        <v>150</v>
      </c>
      <c r="B151" s="3" t="s">
        <v>483</v>
      </c>
      <c r="C151" s="3" t="s">
        <v>483</v>
      </c>
      <c r="D151" s="3" t="s">
        <v>87</v>
      </c>
      <c r="E151" s="3" t="s">
        <v>501</v>
      </c>
      <c r="F151" s="3" t="s">
        <v>88</v>
      </c>
      <c r="G151" s="3" t="s">
        <v>513</v>
      </c>
      <c r="H151" s="19">
        <v>46349</v>
      </c>
      <c r="I151" s="19">
        <v>46350</v>
      </c>
      <c r="J151" s="2">
        <v>2</v>
      </c>
      <c r="K151" s="2" t="s">
        <v>16</v>
      </c>
    </row>
    <row r="152" spans="1:11" ht="62.1" customHeight="1">
      <c r="A152" s="5">
        <v>151</v>
      </c>
      <c r="B152" s="6" t="s">
        <v>483</v>
      </c>
      <c r="C152" s="6" t="s">
        <v>483</v>
      </c>
      <c r="D152" s="6" t="s">
        <v>90</v>
      </c>
      <c r="E152" s="6" t="s">
        <v>501</v>
      </c>
      <c r="F152" s="6" t="s">
        <v>91</v>
      </c>
      <c r="G152" s="6" t="s">
        <v>514</v>
      </c>
      <c r="H152" s="18">
        <v>46349</v>
      </c>
      <c r="I152" s="18">
        <v>46350</v>
      </c>
      <c r="J152" s="5">
        <v>2</v>
      </c>
      <c r="K152" s="5" t="s">
        <v>16</v>
      </c>
    </row>
    <row r="153" spans="1:11" ht="62.1" customHeight="1">
      <c r="A153" s="2">
        <v>152</v>
      </c>
      <c r="B153" s="3" t="s">
        <v>483</v>
      </c>
      <c r="C153" s="3" t="s">
        <v>483</v>
      </c>
      <c r="D153" s="3" t="s">
        <v>93</v>
      </c>
      <c r="E153" s="3" t="s">
        <v>501</v>
      </c>
      <c r="F153" s="3" t="s">
        <v>94</v>
      </c>
      <c r="G153" s="3" t="s">
        <v>515</v>
      </c>
      <c r="H153" s="19">
        <v>46349</v>
      </c>
      <c r="I153" s="19">
        <v>46350</v>
      </c>
      <c r="J153" s="2">
        <v>2</v>
      </c>
      <c r="K153" s="2" t="s">
        <v>16</v>
      </c>
    </row>
    <row r="154" spans="1:11" ht="62.1" customHeight="1">
      <c r="A154" s="5">
        <v>153</v>
      </c>
      <c r="B154" s="6" t="s">
        <v>483</v>
      </c>
      <c r="C154" s="6" t="s">
        <v>483</v>
      </c>
      <c r="D154" s="6" t="s">
        <v>96</v>
      </c>
      <c r="E154" s="6" t="s">
        <v>501</v>
      </c>
      <c r="F154" s="6" t="s">
        <v>97</v>
      </c>
      <c r="G154" s="6" t="s">
        <v>516</v>
      </c>
      <c r="H154" s="18">
        <v>46349</v>
      </c>
      <c r="I154" s="18">
        <v>46350</v>
      </c>
      <c r="J154" s="5">
        <v>2</v>
      </c>
      <c r="K154" s="5" t="s">
        <v>16</v>
      </c>
    </row>
    <row r="155" spans="1:11" ht="62.1" customHeight="1">
      <c r="A155" s="5">
        <v>154</v>
      </c>
      <c r="B155" s="3" t="s">
        <v>483</v>
      </c>
      <c r="C155" s="3" t="s">
        <v>483</v>
      </c>
      <c r="D155" s="3" t="s">
        <v>99</v>
      </c>
      <c r="E155" s="3" t="s">
        <v>501</v>
      </c>
      <c r="F155" s="3" t="s">
        <v>100</v>
      </c>
      <c r="G155" s="3" t="s">
        <v>517</v>
      </c>
      <c r="H155" s="19">
        <v>46349</v>
      </c>
      <c r="I155" s="19">
        <v>46350</v>
      </c>
      <c r="J155" s="2">
        <v>2</v>
      </c>
      <c r="K155" s="2" t="s">
        <v>16</v>
      </c>
    </row>
    <row r="156" spans="1:11" ht="62.1" customHeight="1">
      <c r="A156" s="2">
        <v>155</v>
      </c>
      <c r="B156" s="6" t="s">
        <v>483</v>
      </c>
      <c r="C156" s="6" t="s">
        <v>483</v>
      </c>
      <c r="D156" s="6" t="s">
        <v>102</v>
      </c>
      <c r="E156" s="6" t="s">
        <v>501</v>
      </c>
      <c r="F156" s="6" t="s">
        <v>103</v>
      </c>
      <c r="G156" s="6" t="s">
        <v>518</v>
      </c>
      <c r="H156" s="18">
        <v>46349</v>
      </c>
      <c r="I156" s="18">
        <v>46350</v>
      </c>
      <c r="J156" s="5">
        <v>2</v>
      </c>
      <c r="K156" s="5" t="s">
        <v>16</v>
      </c>
    </row>
    <row r="157" spans="1:11" ht="62.1" customHeight="1">
      <c r="A157" s="5">
        <v>156</v>
      </c>
      <c r="B157" s="3" t="s">
        <v>483</v>
      </c>
      <c r="C157" s="3" t="s">
        <v>483</v>
      </c>
      <c r="D157" s="3" t="s">
        <v>105</v>
      </c>
      <c r="E157" s="3" t="s">
        <v>501</v>
      </c>
      <c r="F157" s="3" t="s">
        <v>106</v>
      </c>
      <c r="G157" s="3" t="s">
        <v>519</v>
      </c>
      <c r="H157" s="19">
        <v>46349</v>
      </c>
      <c r="I157" s="19">
        <v>46350</v>
      </c>
      <c r="J157" s="2">
        <v>2</v>
      </c>
      <c r="K157" s="2" t="s">
        <v>16</v>
      </c>
    </row>
    <row r="158" spans="1:11" ht="62.1" customHeight="1">
      <c r="A158" s="5">
        <v>157</v>
      </c>
      <c r="B158" s="6" t="s">
        <v>483</v>
      </c>
      <c r="C158" s="6" t="s">
        <v>483</v>
      </c>
      <c r="D158" s="6" t="s">
        <v>108</v>
      </c>
      <c r="E158" s="6" t="s">
        <v>501</v>
      </c>
      <c r="F158" s="6" t="s">
        <v>109</v>
      </c>
      <c r="G158" s="6" t="s">
        <v>520</v>
      </c>
      <c r="H158" s="18">
        <v>46349</v>
      </c>
      <c r="I158" s="18">
        <v>46350</v>
      </c>
      <c r="J158" s="5">
        <v>2</v>
      </c>
      <c r="K158" s="5" t="s">
        <v>16</v>
      </c>
    </row>
    <row r="159" spans="1:11" ht="62.1" customHeight="1">
      <c r="A159" s="2">
        <v>158</v>
      </c>
      <c r="B159" s="3" t="s">
        <v>483</v>
      </c>
      <c r="C159" s="3" t="s">
        <v>483</v>
      </c>
      <c r="D159" s="3" t="s">
        <v>111</v>
      </c>
      <c r="E159" s="3" t="s">
        <v>501</v>
      </c>
      <c r="F159" s="3" t="s">
        <v>112</v>
      </c>
      <c r="G159" s="3" t="s">
        <v>521</v>
      </c>
      <c r="H159" s="19">
        <v>46349</v>
      </c>
      <c r="I159" s="19">
        <v>46350</v>
      </c>
      <c r="J159" s="2">
        <v>2</v>
      </c>
      <c r="K159" s="2" t="s">
        <v>16</v>
      </c>
    </row>
    <row r="160" spans="1:11" ht="62.1" customHeight="1">
      <c r="A160" s="5">
        <v>159</v>
      </c>
      <c r="B160" s="6" t="s">
        <v>483</v>
      </c>
      <c r="C160" s="6" t="s">
        <v>483</v>
      </c>
      <c r="D160" s="6" t="s">
        <v>114</v>
      </c>
      <c r="E160" s="6" t="s">
        <v>501</v>
      </c>
      <c r="F160" s="6" t="s">
        <v>115</v>
      </c>
      <c r="G160" s="6" t="s">
        <v>522</v>
      </c>
      <c r="H160" s="18">
        <v>46349</v>
      </c>
      <c r="I160" s="18">
        <v>46350</v>
      </c>
      <c r="J160" s="5">
        <v>2</v>
      </c>
      <c r="K160" s="5" t="s">
        <v>16</v>
      </c>
    </row>
    <row r="161" spans="1:11" ht="62.1" customHeight="1">
      <c r="A161" s="5">
        <v>160</v>
      </c>
      <c r="B161" s="3" t="s">
        <v>483</v>
      </c>
      <c r="C161" s="3" t="s">
        <v>483</v>
      </c>
      <c r="D161" s="3" t="s">
        <v>117</v>
      </c>
      <c r="E161" s="3" t="s">
        <v>501</v>
      </c>
      <c r="F161" s="3" t="s">
        <v>118</v>
      </c>
      <c r="G161" s="3" t="s">
        <v>523</v>
      </c>
      <c r="H161" s="19">
        <v>46349</v>
      </c>
      <c r="I161" s="19">
        <v>46350</v>
      </c>
      <c r="J161" s="2">
        <v>2</v>
      </c>
      <c r="K161" s="2" t="s">
        <v>16</v>
      </c>
    </row>
    <row r="162" spans="1:11" ht="62.1" customHeight="1">
      <c r="A162" s="2">
        <v>161</v>
      </c>
      <c r="B162" s="6" t="s">
        <v>483</v>
      </c>
      <c r="C162" s="6" t="s">
        <v>483</v>
      </c>
      <c r="D162" s="6" t="s">
        <v>120</v>
      </c>
      <c r="E162" s="6" t="s">
        <v>501</v>
      </c>
      <c r="F162" s="6" t="s">
        <v>121</v>
      </c>
      <c r="G162" s="6" t="s">
        <v>524</v>
      </c>
      <c r="H162" s="18">
        <v>46349</v>
      </c>
      <c r="I162" s="18">
        <v>46350</v>
      </c>
      <c r="J162" s="5">
        <v>2</v>
      </c>
      <c r="K162" s="5" t="s">
        <v>16</v>
      </c>
    </row>
    <row r="163" spans="1:11" ht="62.1" customHeight="1">
      <c r="A163" s="5">
        <v>162</v>
      </c>
      <c r="B163" s="3" t="s">
        <v>483</v>
      </c>
      <c r="C163" s="3" t="s">
        <v>483</v>
      </c>
      <c r="D163" s="3" t="s">
        <v>123</v>
      </c>
      <c r="E163" s="3" t="s">
        <v>501</v>
      </c>
      <c r="F163" s="3" t="s">
        <v>124</v>
      </c>
      <c r="G163" s="3" t="s">
        <v>525</v>
      </c>
      <c r="H163" s="19">
        <v>46349</v>
      </c>
      <c r="I163" s="19">
        <v>46350</v>
      </c>
      <c r="J163" s="2">
        <v>2</v>
      </c>
      <c r="K163" s="2" t="s">
        <v>16</v>
      </c>
    </row>
    <row r="164" spans="1:11" ht="62.1" customHeight="1">
      <c r="A164" s="5">
        <v>163</v>
      </c>
      <c r="B164" s="6" t="s">
        <v>483</v>
      </c>
      <c r="C164" s="6" t="s">
        <v>483</v>
      </c>
      <c r="D164" s="6" t="s">
        <v>126</v>
      </c>
      <c r="E164" s="6" t="s">
        <v>501</v>
      </c>
      <c r="F164" s="6" t="s">
        <v>127</v>
      </c>
      <c r="G164" s="6" t="s">
        <v>526</v>
      </c>
      <c r="H164" s="18">
        <v>46349</v>
      </c>
      <c r="I164" s="18">
        <v>46350</v>
      </c>
      <c r="J164" s="5">
        <v>2</v>
      </c>
      <c r="K164" s="5" t="s">
        <v>16</v>
      </c>
    </row>
    <row r="165" spans="1:11" ht="62.1" customHeight="1">
      <c r="A165" s="2">
        <v>164</v>
      </c>
      <c r="B165" s="3" t="s">
        <v>483</v>
      </c>
      <c r="C165" s="3" t="s">
        <v>483</v>
      </c>
      <c r="D165" s="3" t="s">
        <v>129</v>
      </c>
      <c r="E165" s="3" t="s">
        <v>501</v>
      </c>
      <c r="F165" s="3" t="s">
        <v>130</v>
      </c>
      <c r="G165" s="3" t="s">
        <v>527</v>
      </c>
      <c r="H165" s="19">
        <v>46349</v>
      </c>
      <c r="I165" s="19">
        <v>46350</v>
      </c>
      <c r="J165" s="2">
        <v>2</v>
      </c>
      <c r="K165" s="2" t="s">
        <v>16</v>
      </c>
    </row>
    <row r="166" spans="1:11" ht="62.1" customHeight="1">
      <c r="A166" s="5">
        <v>165</v>
      </c>
      <c r="B166" s="6" t="s">
        <v>483</v>
      </c>
      <c r="C166" s="6" t="s">
        <v>483</v>
      </c>
      <c r="D166" s="6" t="s">
        <v>132</v>
      </c>
      <c r="E166" s="6" t="s">
        <v>501</v>
      </c>
      <c r="F166" s="6" t="s">
        <v>133</v>
      </c>
      <c r="G166" s="6" t="s">
        <v>528</v>
      </c>
      <c r="H166" s="18">
        <v>46349</v>
      </c>
      <c r="I166" s="18">
        <v>46350</v>
      </c>
      <c r="J166" s="5">
        <v>2</v>
      </c>
      <c r="K166" s="5" t="s">
        <v>16</v>
      </c>
    </row>
    <row r="167" spans="1:11" ht="62.1" customHeight="1">
      <c r="A167" s="5">
        <v>166</v>
      </c>
      <c r="B167" s="3" t="s">
        <v>483</v>
      </c>
      <c r="C167" s="3" t="s">
        <v>483</v>
      </c>
      <c r="D167" s="3" t="s">
        <v>135</v>
      </c>
      <c r="E167" s="3" t="s">
        <v>501</v>
      </c>
      <c r="F167" s="3" t="s">
        <v>136</v>
      </c>
      <c r="G167" s="3" t="s">
        <v>529</v>
      </c>
      <c r="H167" s="19">
        <v>46349</v>
      </c>
      <c r="I167" s="19">
        <v>46350</v>
      </c>
      <c r="J167" s="2">
        <v>2</v>
      </c>
      <c r="K167" s="2" t="s">
        <v>16</v>
      </c>
    </row>
    <row r="168" spans="1:11" ht="62.1" customHeight="1">
      <c r="A168" s="2">
        <v>167</v>
      </c>
      <c r="B168" s="6" t="s">
        <v>483</v>
      </c>
      <c r="C168" s="6" t="s">
        <v>483</v>
      </c>
      <c r="D168" s="6" t="s">
        <v>138</v>
      </c>
      <c r="E168" s="6" t="s">
        <v>501</v>
      </c>
      <c r="F168" s="6" t="s">
        <v>139</v>
      </c>
      <c r="G168" s="6" t="s">
        <v>530</v>
      </c>
      <c r="H168" s="18">
        <v>46349</v>
      </c>
      <c r="I168" s="18">
        <v>46350</v>
      </c>
      <c r="J168" s="5">
        <v>2</v>
      </c>
      <c r="K168" s="5" t="s">
        <v>16</v>
      </c>
    </row>
    <row r="169" spans="1:11" ht="62.1" customHeight="1">
      <c r="A169" s="5">
        <v>168</v>
      </c>
      <c r="B169" s="3" t="s">
        <v>483</v>
      </c>
      <c r="C169" s="3" t="s">
        <v>483</v>
      </c>
      <c r="D169" s="3" t="s">
        <v>531</v>
      </c>
      <c r="E169" s="3" t="s">
        <v>532</v>
      </c>
      <c r="F169" s="3" t="s">
        <v>533</v>
      </c>
      <c r="G169" s="3" t="s">
        <v>534</v>
      </c>
      <c r="H169" s="19">
        <v>46351</v>
      </c>
      <c r="I169" s="19">
        <v>46352</v>
      </c>
      <c r="J169" s="2">
        <v>2</v>
      </c>
      <c r="K169" s="2" t="s">
        <v>16</v>
      </c>
    </row>
    <row r="170" spans="1:11" ht="62.1" customHeight="1">
      <c r="A170" s="5">
        <v>169</v>
      </c>
      <c r="B170" s="6" t="s">
        <v>483</v>
      </c>
      <c r="C170" s="6" t="s">
        <v>483</v>
      </c>
      <c r="D170" s="6" t="s">
        <v>535</v>
      </c>
      <c r="E170" s="6" t="s">
        <v>536</v>
      </c>
      <c r="F170" s="6" t="s">
        <v>537</v>
      </c>
      <c r="G170" s="6" t="s">
        <v>538</v>
      </c>
      <c r="H170" s="18">
        <v>46351</v>
      </c>
      <c r="I170" s="18">
        <v>46352</v>
      </c>
      <c r="J170" s="5">
        <v>2</v>
      </c>
      <c r="K170" s="5" t="s">
        <v>16</v>
      </c>
    </row>
    <row r="171" spans="1:11" ht="62.1" customHeight="1">
      <c r="A171" s="2">
        <v>170</v>
      </c>
      <c r="B171" s="3" t="s">
        <v>483</v>
      </c>
      <c r="C171" s="3" t="s">
        <v>483</v>
      </c>
      <c r="D171" s="3" t="s">
        <v>539</v>
      </c>
      <c r="E171" s="3" t="s">
        <v>540</v>
      </c>
      <c r="F171" s="3" t="s">
        <v>541</v>
      </c>
      <c r="G171" s="3" t="s">
        <v>542</v>
      </c>
      <c r="H171" s="19">
        <v>46351</v>
      </c>
      <c r="I171" s="19">
        <v>46352</v>
      </c>
      <c r="J171" s="2">
        <v>2</v>
      </c>
      <c r="K171" s="2" t="s">
        <v>16</v>
      </c>
    </row>
    <row r="172" spans="1:11" ht="62.1" customHeight="1">
      <c r="A172" s="5">
        <v>171</v>
      </c>
      <c r="B172" s="6" t="s">
        <v>483</v>
      </c>
      <c r="C172" s="6" t="s">
        <v>483</v>
      </c>
      <c r="D172" s="6" t="s">
        <v>209</v>
      </c>
      <c r="E172" s="6" t="s">
        <v>543</v>
      </c>
      <c r="F172" s="6" t="s">
        <v>544</v>
      </c>
      <c r="G172" s="6" t="s">
        <v>545</v>
      </c>
      <c r="H172" s="18">
        <v>46351</v>
      </c>
      <c r="I172" s="18">
        <v>46352</v>
      </c>
      <c r="J172" s="5">
        <v>2</v>
      </c>
      <c r="K172" s="5" t="s">
        <v>16</v>
      </c>
    </row>
    <row r="173" spans="1:11" ht="62.1" customHeight="1">
      <c r="A173" s="5">
        <v>172</v>
      </c>
      <c r="B173" s="3" t="s">
        <v>483</v>
      </c>
      <c r="C173" s="3" t="s">
        <v>483</v>
      </c>
      <c r="D173" s="3" t="s">
        <v>546</v>
      </c>
      <c r="E173" s="3" t="s">
        <v>547</v>
      </c>
      <c r="F173" s="3" t="s">
        <v>548</v>
      </c>
      <c r="G173" s="3" t="s">
        <v>549</v>
      </c>
      <c r="H173" s="19">
        <v>46351</v>
      </c>
      <c r="I173" s="19">
        <v>46352</v>
      </c>
      <c r="J173" s="2">
        <v>2</v>
      </c>
      <c r="K173" s="2" t="s">
        <v>16</v>
      </c>
    </row>
    <row r="174" spans="1:11" ht="62.1" customHeight="1">
      <c r="A174" s="2">
        <v>173</v>
      </c>
      <c r="B174" s="6" t="s">
        <v>483</v>
      </c>
      <c r="C174" s="6" t="s">
        <v>483</v>
      </c>
      <c r="D174" s="6" t="s">
        <v>550</v>
      </c>
      <c r="E174" s="6" t="s">
        <v>551</v>
      </c>
      <c r="F174" s="6" t="s">
        <v>552</v>
      </c>
      <c r="G174" s="6" t="s">
        <v>553</v>
      </c>
      <c r="H174" s="18">
        <v>46351</v>
      </c>
      <c r="I174" s="18">
        <v>46352</v>
      </c>
      <c r="J174" s="5">
        <v>2</v>
      </c>
      <c r="K174" s="5" t="s">
        <v>16</v>
      </c>
    </row>
    <row r="175" spans="1:11" ht="62.1" customHeight="1">
      <c r="A175" s="5">
        <v>174</v>
      </c>
      <c r="B175" s="3" t="s">
        <v>483</v>
      </c>
      <c r="C175" s="3" t="s">
        <v>483</v>
      </c>
      <c r="D175" s="3" t="s">
        <v>554</v>
      </c>
      <c r="E175" s="3" t="s">
        <v>555</v>
      </c>
      <c r="F175" s="3" t="s">
        <v>556</v>
      </c>
      <c r="G175" s="3" t="s">
        <v>557</v>
      </c>
      <c r="H175" s="19">
        <v>46351</v>
      </c>
      <c r="I175" s="19">
        <v>46352</v>
      </c>
      <c r="J175" s="2">
        <v>2</v>
      </c>
      <c r="K175" s="2" t="s">
        <v>16</v>
      </c>
    </row>
    <row r="176" spans="1:11" ht="62.1" customHeight="1">
      <c r="A176" s="5">
        <v>175</v>
      </c>
      <c r="B176" s="6" t="s">
        <v>483</v>
      </c>
      <c r="C176" s="6" t="s">
        <v>483</v>
      </c>
      <c r="D176" s="6" t="s">
        <v>558</v>
      </c>
      <c r="E176" s="6" t="s">
        <v>559</v>
      </c>
      <c r="F176" s="6" t="s">
        <v>560</v>
      </c>
      <c r="G176" s="6" t="s">
        <v>561</v>
      </c>
      <c r="H176" s="18">
        <v>46351</v>
      </c>
      <c r="I176" s="18">
        <v>46352</v>
      </c>
      <c r="J176" s="5">
        <v>2</v>
      </c>
      <c r="K176" s="5" t="s">
        <v>16</v>
      </c>
    </row>
    <row r="177" spans="1:11" ht="62.1" customHeight="1">
      <c r="A177" s="2">
        <v>176</v>
      </c>
      <c r="B177" s="3" t="s">
        <v>562</v>
      </c>
      <c r="C177" s="3" t="s">
        <v>346</v>
      </c>
      <c r="D177" s="3" t="s">
        <v>563</v>
      </c>
      <c r="E177" s="3" t="s">
        <v>564</v>
      </c>
      <c r="F177" s="3" t="s">
        <v>565</v>
      </c>
      <c r="G177" s="3" t="s">
        <v>566</v>
      </c>
      <c r="H177" s="19">
        <v>46353</v>
      </c>
      <c r="I177" s="19">
        <v>46353</v>
      </c>
      <c r="J177" s="2">
        <v>2</v>
      </c>
      <c r="K177" s="2" t="s">
        <v>16</v>
      </c>
    </row>
    <row r="178" spans="1:11" ht="62.1" customHeight="1">
      <c r="A178" s="5">
        <v>177</v>
      </c>
      <c r="B178" s="6" t="s">
        <v>562</v>
      </c>
      <c r="C178" s="6" t="s">
        <v>346</v>
      </c>
      <c r="D178" s="6" t="s">
        <v>567</v>
      </c>
      <c r="E178" s="6" t="s">
        <v>568</v>
      </c>
      <c r="F178" s="6" t="s">
        <v>569</v>
      </c>
      <c r="G178" s="6" t="s">
        <v>570</v>
      </c>
      <c r="H178" s="18">
        <v>46353</v>
      </c>
      <c r="I178" s="18">
        <v>46353</v>
      </c>
      <c r="J178" s="5">
        <f t="shared" ref="J178:J189" si="4">NETWORKDAYS(H178,I178)</f>
        <v>1</v>
      </c>
      <c r="K178" s="5" t="s">
        <v>16</v>
      </c>
    </row>
    <row r="179" spans="1:11" ht="62.1" customHeight="1">
      <c r="A179" s="5">
        <v>178</v>
      </c>
      <c r="B179" s="3" t="s">
        <v>562</v>
      </c>
      <c r="C179" s="3" t="s">
        <v>346</v>
      </c>
      <c r="D179" s="3" t="s">
        <v>571</v>
      </c>
      <c r="E179" s="3" t="s">
        <v>572</v>
      </c>
      <c r="F179" s="3" t="s">
        <v>573</v>
      </c>
      <c r="G179" s="3" t="s">
        <v>574</v>
      </c>
      <c r="H179" s="19">
        <v>46353</v>
      </c>
      <c r="I179" s="19">
        <v>46353</v>
      </c>
      <c r="J179" s="2">
        <f t="shared" si="4"/>
        <v>1</v>
      </c>
      <c r="K179" s="2" t="s">
        <v>16</v>
      </c>
    </row>
    <row r="180" spans="1:11" ht="62.1" customHeight="1">
      <c r="A180" s="2">
        <v>179</v>
      </c>
      <c r="B180" s="6" t="s">
        <v>562</v>
      </c>
      <c r="C180" s="6" t="s">
        <v>346</v>
      </c>
      <c r="D180" s="6" t="s">
        <v>575</v>
      </c>
      <c r="E180" s="6" t="s">
        <v>576</v>
      </c>
      <c r="F180" s="6" t="s">
        <v>577</v>
      </c>
      <c r="G180" s="6" t="s">
        <v>578</v>
      </c>
      <c r="H180" s="18">
        <v>46353</v>
      </c>
      <c r="I180" s="18">
        <v>46353</v>
      </c>
      <c r="J180" s="5">
        <f t="shared" si="4"/>
        <v>1</v>
      </c>
      <c r="K180" s="5" t="s">
        <v>16</v>
      </c>
    </row>
    <row r="181" spans="1:11" ht="62.1" customHeight="1">
      <c r="A181" s="5">
        <v>180</v>
      </c>
      <c r="B181" s="3" t="s">
        <v>562</v>
      </c>
      <c r="C181" s="3" t="s">
        <v>346</v>
      </c>
      <c r="D181" s="3" t="s">
        <v>579</v>
      </c>
      <c r="E181" s="3" t="s">
        <v>580</v>
      </c>
      <c r="F181" s="3" t="s">
        <v>581</v>
      </c>
      <c r="G181" s="3" t="s">
        <v>582</v>
      </c>
      <c r="H181" s="19">
        <v>46353</v>
      </c>
      <c r="I181" s="19">
        <v>46353</v>
      </c>
      <c r="J181" s="2">
        <f t="shared" si="4"/>
        <v>1</v>
      </c>
      <c r="K181" s="2" t="s">
        <v>16</v>
      </c>
    </row>
    <row r="182" spans="1:11" ht="62.1" customHeight="1">
      <c r="A182" s="5">
        <v>181</v>
      </c>
      <c r="B182" s="6" t="s">
        <v>562</v>
      </c>
      <c r="C182" s="6" t="s">
        <v>245</v>
      </c>
      <c r="D182" s="6" t="s">
        <v>583</v>
      </c>
      <c r="E182" s="6" t="s">
        <v>584</v>
      </c>
      <c r="F182" s="6" t="s">
        <v>585</v>
      </c>
      <c r="G182" s="6" t="s">
        <v>586</v>
      </c>
      <c r="H182" s="18">
        <v>46353</v>
      </c>
      <c r="I182" s="18">
        <v>46353</v>
      </c>
      <c r="J182" s="5">
        <f t="shared" si="4"/>
        <v>1</v>
      </c>
      <c r="K182" s="5" t="s">
        <v>16</v>
      </c>
    </row>
    <row r="183" spans="1:11" ht="62.1" customHeight="1">
      <c r="A183" s="2">
        <v>182</v>
      </c>
      <c r="B183" s="3" t="s">
        <v>562</v>
      </c>
      <c r="C183" s="3" t="s">
        <v>587</v>
      </c>
      <c r="D183" s="3" t="s">
        <v>588</v>
      </c>
      <c r="E183" s="3" t="s">
        <v>589</v>
      </c>
      <c r="F183" s="3" t="s">
        <v>590</v>
      </c>
      <c r="G183" s="3" t="s">
        <v>591</v>
      </c>
      <c r="H183" s="19">
        <v>46353</v>
      </c>
      <c r="I183" s="19">
        <v>46353</v>
      </c>
      <c r="J183" s="2">
        <f t="shared" si="4"/>
        <v>1</v>
      </c>
      <c r="K183" s="2" t="s">
        <v>16</v>
      </c>
    </row>
    <row r="184" spans="1:11" ht="62.1" customHeight="1">
      <c r="A184" s="5">
        <v>183</v>
      </c>
      <c r="B184" s="6" t="s">
        <v>592</v>
      </c>
      <c r="C184" s="6" t="s">
        <v>141</v>
      </c>
      <c r="D184" s="6" t="s">
        <v>593</v>
      </c>
      <c r="E184" s="6" t="s">
        <v>594</v>
      </c>
      <c r="F184" s="6" t="s">
        <v>595</v>
      </c>
      <c r="G184" s="6" t="s">
        <v>596</v>
      </c>
      <c r="H184" s="18">
        <v>46356</v>
      </c>
      <c r="I184" s="18">
        <v>46356</v>
      </c>
      <c r="J184" s="5">
        <f t="shared" si="4"/>
        <v>1</v>
      </c>
      <c r="K184" s="5" t="s">
        <v>16</v>
      </c>
    </row>
    <row r="185" spans="1:11" ht="62.1" customHeight="1">
      <c r="A185" s="5">
        <v>184</v>
      </c>
      <c r="B185" s="3" t="s">
        <v>592</v>
      </c>
      <c r="C185" s="3" t="s">
        <v>141</v>
      </c>
      <c r="D185" s="3" t="s">
        <v>597</v>
      </c>
      <c r="E185" s="3" t="s">
        <v>598</v>
      </c>
      <c r="F185" s="3" t="s">
        <v>599</v>
      </c>
      <c r="G185" s="3" t="s">
        <v>600</v>
      </c>
      <c r="H185" s="19">
        <v>46356</v>
      </c>
      <c r="I185" s="19">
        <v>46356</v>
      </c>
      <c r="J185" s="2">
        <f t="shared" si="4"/>
        <v>1</v>
      </c>
      <c r="K185" s="2" t="s">
        <v>16</v>
      </c>
    </row>
    <row r="186" spans="1:11" ht="62.1" customHeight="1">
      <c r="A186" s="2">
        <v>185</v>
      </c>
      <c r="B186" s="6" t="s">
        <v>592</v>
      </c>
      <c r="C186" s="6" t="s">
        <v>141</v>
      </c>
      <c r="D186" s="6" t="s">
        <v>601</v>
      </c>
      <c r="E186" s="6" t="s">
        <v>602</v>
      </c>
      <c r="F186" s="6" t="s">
        <v>603</v>
      </c>
      <c r="G186" s="6" t="s">
        <v>604</v>
      </c>
      <c r="H186" s="18">
        <v>46356</v>
      </c>
      <c r="I186" s="18">
        <v>46356</v>
      </c>
      <c r="J186" s="5">
        <f t="shared" si="4"/>
        <v>1</v>
      </c>
      <c r="K186" s="5" t="s">
        <v>16</v>
      </c>
    </row>
    <row r="187" spans="1:11" ht="62.1" customHeight="1">
      <c r="A187" s="5">
        <v>186</v>
      </c>
      <c r="B187" s="3" t="s">
        <v>592</v>
      </c>
      <c r="C187" s="3" t="s">
        <v>141</v>
      </c>
      <c r="D187" s="3" t="s">
        <v>605</v>
      </c>
      <c r="E187" s="3" t="s">
        <v>606</v>
      </c>
      <c r="F187" s="3" t="s">
        <v>607</v>
      </c>
      <c r="G187" s="3" t="s">
        <v>608</v>
      </c>
      <c r="H187" s="19">
        <v>46356</v>
      </c>
      <c r="I187" s="19">
        <v>46356</v>
      </c>
      <c r="J187" s="2">
        <f t="shared" si="4"/>
        <v>1</v>
      </c>
      <c r="K187" s="2" t="s">
        <v>16</v>
      </c>
    </row>
    <row r="188" spans="1:11" ht="62.1" customHeight="1">
      <c r="A188" s="5">
        <v>187</v>
      </c>
      <c r="B188" s="6" t="s">
        <v>592</v>
      </c>
      <c r="C188" s="6" t="s">
        <v>141</v>
      </c>
      <c r="D188" s="6" t="s">
        <v>609</v>
      </c>
      <c r="E188" s="6" t="s">
        <v>610</v>
      </c>
      <c r="F188" s="6" t="s">
        <v>611</v>
      </c>
      <c r="G188" s="6" t="s">
        <v>612</v>
      </c>
      <c r="H188" s="18">
        <v>46356</v>
      </c>
      <c r="I188" s="18">
        <v>46356</v>
      </c>
      <c r="J188" s="5">
        <f t="shared" si="4"/>
        <v>1</v>
      </c>
      <c r="K188" s="5" t="s">
        <v>16</v>
      </c>
    </row>
    <row r="189" spans="1:11" ht="62.1" customHeight="1">
      <c r="A189" s="2">
        <v>188</v>
      </c>
      <c r="B189" s="3" t="s">
        <v>592</v>
      </c>
      <c r="C189" s="3" t="s">
        <v>141</v>
      </c>
      <c r="D189" s="3" t="s">
        <v>613</v>
      </c>
      <c r="E189" s="3" t="s">
        <v>614</v>
      </c>
      <c r="F189" s="3" t="s">
        <v>615</v>
      </c>
      <c r="G189" s="3" t="s">
        <v>616</v>
      </c>
      <c r="H189" s="19">
        <v>46356</v>
      </c>
      <c r="I189" s="19">
        <v>46356</v>
      </c>
      <c r="J189" s="2">
        <f t="shared" si="4"/>
        <v>1</v>
      </c>
      <c r="K189" s="2" t="s">
        <v>16</v>
      </c>
    </row>
    <row r="190" spans="1:11" ht="62.1" customHeight="1">
      <c r="A190" s="5">
        <v>189</v>
      </c>
      <c r="B190" s="6" t="s">
        <v>617</v>
      </c>
      <c r="C190" s="6" t="s">
        <v>245</v>
      </c>
      <c r="D190" s="6" t="s">
        <v>618</v>
      </c>
      <c r="E190" s="6" t="s">
        <v>619</v>
      </c>
      <c r="F190" s="6" t="s">
        <v>620</v>
      </c>
      <c r="G190" s="6" t="s">
        <v>621</v>
      </c>
      <c r="H190" s="18">
        <v>46357</v>
      </c>
      <c r="I190" s="18">
        <v>46358</v>
      </c>
      <c r="J190" s="5">
        <v>2</v>
      </c>
      <c r="K190" s="5" t="s">
        <v>16</v>
      </c>
    </row>
    <row r="191" spans="1:11" ht="62.1" customHeight="1">
      <c r="A191" s="5">
        <v>190</v>
      </c>
      <c r="B191" s="3" t="s">
        <v>617</v>
      </c>
      <c r="C191" s="3" t="s">
        <v>245</v>
      </c>
      <c r="D191" s="3" t="s">
        <v>622</v>
      </c>
      <c r="E191" s="3" t="s">
        <v>623</v>
      </c>
      <c r="F191" s="3" t="s">
        <v>624</v>
      </c>
      <c r="G191" s="3" t="s">
        <v>625</v>
      </c>
      <c r="H191" s="19">
        <v>46357</v>
      </c>
      <c r="I191" s="19">
        <v>46358</v>
      </c>
      <c r="J191" s="2">
        <v>2</v>
      </c>
      <c r="K191" s="2" t="s">
        <v>16</v>
      </c>
    </row>
    <row r="192" spans="1:11" ht="62.1" customHeight="1">
      <c r="A192" s="2">
        <v>191</v>
      </c>
      <c r="B192" s="6" t="s">
        <v>617</v>
      </c>
      <c r="C192" s="6" t="s">
        <v>245</v>
      </c>
      <c r="D192" s="6" t="s">
        <v>626</v>
      </c>
      <c r="E192" s="6" t="s">
        <v>627</v>
      </c>
      <c r="F192" s="6" t="s">
        <v>628</v>
      </c>
      <c r="G192" s="6" t="s">
        <v>629</v>
      </c>
      <c r="H192" s="18">
        <v>46357</v>
      </c>
      <c r="I192" s="18">
        <v>46358</v>
      </c>
      <c r="J192" s="5">
        <v>2</v>
      </c>
      <c r="K192" s="5" t="s">
        <v>16</v>
      </c>
    </row>
    <row r="193" spans="1:11" ht="62.1" customHeight="1">
      <c r="A193" s="5">
        <v>192</v>
      </c>
      <c r="B193" s="3" t="s">
        <v>617</v>
      </c>
      <c r="C193" s="3" t="s">
        <v>245</v>
      </c>
      <c r="D193" s="3" t="s">
        <v>630</v>
      </c>
      <c r="E193" s="3" t="s">
        <v>631</v>
      </c>
      <c r="F193" s="3" t="s">
        <v>632</v>
      </c>
      <c r="G193" s="3" t="s">
        <v>633</v>
      </c>
      <c r="H193" s="19">
        <v>46357</v>
      </c>
      <c r="I193" s="19">
        <v>46358</v>
      </c>
      <c r="J193" s="2">
        <f t="shared" ref="J193:J199" si="5">NETWORKDAYS(H193,I193)</f>
        <v>2</v>
      </c>
      <c r="K193" s="2" t="s">
        <v>16</v>
      </c>
    </row>
    <row r="194" spans="1:11" ht="62.1" customHeight="1">
      <c r="A194" s="5">
        <v>193</v>
      </c>
      <c r="B194" s="6" t="s">
        <v>617</v>
      </c>
      <c r="C194" s="6" t="s">
        <v>245</v>
      </c>
      <c r="D194" s="6" t="s">
        <v>634</v>
      </c>
      <c r="E194" s="6" t="s">
        <v>635</v>
      </c>
      <c r="F194" s="6" t="s">
        <v>636</v>
      </c>
      <c r="G194" s="6" t="s">
        <v>637</v>
      </c>
      <c r="H194" s="18">
        <v>46357</v>
      </c>
      <c r="I194" s="18">
        <v>46358</v>
      </c>
      <c r="J194" s="5">
        <f t="shared" si="5"/>
        <v>2</v>
      </c>
      <c r="K194" s="5" t="s">
        <v>16</v>
      </c>
    </row>
    <row r="195" spans="1:11" ht="62.1" customHeight="1">
      <c r="A195" s="2">
        <v>194</v>
      </c>
      <c r="B195" s="3" t="s">
        <v>617</v>
      </c>
      <c r="C195" s="3" t="s">
        <v>245</v>
      </c>
      <c r="D195" s="3" t="s">
        <v>638</v>
      </c>
      <c r="E195" s="3" t="s">
        <v>639</v>
      </c>
      <c r="F195" s="3" t="s">
        <v>640</v>
      </c>
      <c r="G195" s="3" t="s">
        <v>641</v>
      </c>
      <c r="H195" s="19">
        <v>46357</v>
      </c>
      <c r="I195" s="19">
        <v>46358</v>
      </c>
      <c r="J195" s="2">
        <f t="shared" si="5"/>
        <v>2</v>
      </c>
      <c r="K195" s="2" t="s">
        <v>16</v>
      </c>
    </row>
    <row r="196" spans="1:11" ht="62.1" customHeight="1">
      <c r="A196" s="5">
        <v>195</v>
      </c>
      <c r="B196" s="6" t="s">
        <v>617</v>
      </c>
      <c r="C196" s="6" t="s">
        <v>245</v>
      </c>
      <c r="D196" s="6" t="s">
        <v>642</v>
      </c>
      <c r="E196" s="6" t="s">
        <v>643</v>
      </c>
      <c r="F196" s="6" t="s">
        <v>644</v>
      </c>
      <c r="G196" s="6" t="s">
        <v>645</v>
      </c>
      <c r="H196" s="18">
        <v>46357</v>
      </c>
      <c r="I196" s="18">
        <v>46358</v>
      </c>
      <c r="J196" s="5">
        <f t="shared" si="5"/>
        <v>2</v>
      </c>
      <c r="K196" s="5" t="s">
        <v>16</v>
      </c>
    </row>
    <row r="197" spans="1:11" ht="62.1" customHeight="1">
      <c r="A197" s="5">
        <v>196</v>
      </c>
      <c r="B197" s="3" t="s">
        <v>617</v>
      </c>
      <c r="C197" s="3" t="s">
        <v>245</v>
      </c>
      <c r="D197" s="3" t="s">
        <v>646</v>
      </c>
      <c r="E197" s="3" t="s">
        <v>647</v>
      </c>
      <c r="F197" s="3" t="s">
        <v>648</v>
      </c>
      <c r="G197" s="3" t="s">
        <v>649</v>
      </c>
      <c r="H197" s="19">
        <v>46357</v>
      </c>
      <c r="I197" s="19">
        <v>46358</v>
      </c>
      <c r="J197" s="2">
        <f t="shared" si="5"/>
        <v>2</v>
      </c>
      <c r="K197" s="2" t="s">
        <v>16</v>
      </c>
    </row>
    <row r="198" spans="1:11" ht="62.1" customHeight="1">
      <c r="A198" s="2">
        <v>197</v>
      </c>
      <c r="B198" s="6" t="s">
        <v>617</v>
      </c>
      <c r="C198" s="6" t="s">
        <v>245</v>
      </c>
      <c r="D198" s="6" t="s">
        <v>650</v>
      </c>
      <c r="E198" s="6" t="s">
        <v>651</v>
      </c>
      <c r="F198" s="6" t="s">
        <v>652</v>
      </c>
      <c r="G198" s="6" t="s">
        <v>653</v>
      </c>
      <c r="H198" s="18">
        <v>46357</v>
      </c>
      <c r="I198" s="18">
        <v>46358</v>
      </c>
      <c r="J198" s="5">
        <f t="shared" si="5"/>
        <v>2</v>
      </c>
      <c r="K198" s="5" t="s">
        <v>16</v>
      </c>
    </row>
    <row r="199" spans="1:11" ht="62.1" customHeight="1">
      <c r="A199" s="5">
        <v>198</v>
      </c>
      <c r="B199" s="3" t="s">
        <v>617</v>
      </c>
      <c r="C199" s="3" t="s">
        <v>245</v>
      </c>
      <c r="D199" s="3" t="s">
        <v>654</v>
      </c>
      <c r="E199" s="3" t="s">
        <v>655</v>
      </c>
      <c r="F199" s="3" t="s">
        <v>656</v>
      </c>
      <c r="G199" s="3" t="s">
        <v>657</v>
      </c>
      <c r="H199" s="19">
        <v>46357</v>
      </c>
      <c r="I199" s="19">
        <v>46358</v>
      </c>
      <c r="J199" s="2">
        <f t="shared" si="5"/>
        <v>2</v>
      </c>
      <c r="K199" s="2" t="s">
        <v>16</v>
      </c>
    </row>
    <row r="200" spans="1:11" ht="62.1" customHeight="1">
      <c r="A200" s="5">
        <v>199</v>
      </c>
      <c r="B200" s="6" t="s">
        <v>617</v>
      </c>
      <c r="C200" s="6" t="s">
        <v>245</v>
      </c>
      <c r="D200" s="6" t="s">
        <v>658</v>
      </c>
      <c r="E200" s="6" t="s">
        <v>659</v>
      </c>
      <c r="F200" s="6" t="s">
        <v>660</v>
      </c>
      <c r="G200" s="6" t="s">
        <v>661</v>
      </c>
      <c r="H200" s="18">
        <v>46357</v>
      </c>
      <c r="I200" s="18">
        <v>46358</v>
      </c>
      <c r="J200" s="5">
        <v>2</v>
      </c>
      <c r="K200" s="5" t="s">
        <v>16</v>
      </c>
    </row>
    <row r="201" spans="1:11" ht="62.1" customHeight="1">
      <c r="A201" s="2">
        <v>200</v>
      </c>
      <c r="B201" s="3" t="s">
        <v>617</v>
      </c>
      <c r="C201" s="3" t="s">
        <v>245</v>
      </c>
      <c r="D201" s="3" t="s">
        <v>662</v>
      </c>
      <c r="E201" s="3" t="s">
        <v>663</v>
      </c>
      <c r="F201" s="3" t="s">
        <v>664</v>
      </c>
      <c r="G201" s="3" t="s">
        <v>665</v>
      </c>
      <c r="H201" s="19">
        <v>46357</v>
      </c>
      <c r="I201" s="19">
        <v>46358</v>
      </c>
      <c r="J201" s="2">
        <f>NETWORKDAYS(H201,I201)</f>
        <v>2</v>
      </c>
      <c r="K201" s="2" t="s">
        <v>16</v>
      </c>
    </row>
    <row r="202" spans="1:11" ht="62.1" customHeight="1">
      <c r="A202" s="5">
        <v>201</v>
      </c>
      <c r="B202" s="6" t="s">
        <v>617</v>
      </c>
      <c r="C202" s="6" t="s">
        <v>245</v>
      </c>
      <c r="D202" s="6" t="s">
        <v>666</v>
      </c>
      <c r="E202" s="6" t="s">
        <v>667</v>
      </c>
      <c r="F202" s="6" t="s">
        <v>668</v>
      </c>
      <c r="G202" s="6" t="s">
        <v>669</v>
      </c>
      <c r="H202" s="18">
        <v>46357</v>
      </c>
      <c r="I202" s="18">
        <v>46358</v>
      </c>
      <c r="J202" s="5">
        <f>NETWORKDAYS(H202,I202)</f>
        <v>2</v>
      </c>
      <c r="K202" s="5" t="s">
        <v>16</v>
      </c>
    </row>
    <row r="203" spans="1:11" ht="62.1" customHeight="1">
      <c r="A203" s="5">
        <v>202</v>
      </c>
      <c r="B203" s="3" t="s">
        <v>617</v>
      </c>
      <c r="C203" s="3" t="s">
        <v>245</v>
      </c>
      <c r="D203" s="3" t="s">
        <v>670</v>
      </c>
      <c r="E203" s="3" t="s">
        <v>671</v>
      </c>
      <c r="F203" s="3" t="s">
        <v>672</v>
      </c>
      <c r="G203" s="3" t="s">
        <v>673</v>
      </c>
      <c r="H203" s="19">
        <v>46357</v>
      </c>
      <c r="I203" s="19">
        <v>46358</v>
      </c>
      <c r="J203" s="2">
        <f>NETWORKDAYS(H203,I203)</f>
        <v>2</v>
      </c>
      <c r="K203" s="2" t="s">
        <v>16</v>
      </c>
    </row>
    <row r="204" spans="1:11" ht="62.1" customHeight="1">
      <c r="A204" s="2">
        <v>203</v>
      </c>
      <c r="B204" s="6" t="s">
        <v>617</v>
      </c>
      <c r="C204" s="6" t="s">
        <v>245</v>
      </c>
      <c r="D204" s="6" t="s">
        <v>674</v>
      </c>
      <c r="E204" s="6" t="s">
        <v>675</v>
      </c>
      <c r="F204" s="6" t="s">
        <v>676</v>
      </c>
      <c r="G204" s="6" t="s">
        <v>677</v>
      </c>
      <c r="H204" s="18">
        <v>46357</v>
      </c>
      <c r="I204" s="18">
        <v>46358</v>
      </c>
      <c r="J204" s="5">
        <f>NETWORKDAYS(H204,I204)</f>
        <v>2</v>
      </c>
      <c r="K204" s="5" t="s">
        <v>16</v>
      </c>
    </row>
    <row r="205" spans="1:11" ht="62.1" customHeight="1">
      <c r="A205" s="5">
        <v>204</v>
      </c>
      <c r="B205" s="3" t="s">
        <v>617</v>
      </c>
      <c r="C205" s="3" t="s">
        <v>245</v>
      </c>
      <c r="D205" s="3" t="s">
        <v>678</v>
      </c>
      <c r="E205" s="3" t="s">
        <v>679</v>
      </c>
      <c r="F205" s="3" t="s">
        <v>680</v>
      </c>
      <c r="G205" s="3" t="s">
        <v>681</v>
      </c>
      <c r="H205" s="19">
        <v>46357</v>
      </c>
      <c r="I205" s="19">
        <v>46358</v>
      </c>
      <c r="J205" s="2">
        <f>NETWORKDAYS(H205,I205)</f>
        <v>2</v>
      </c>
      <c r="K205" s="2" t="s">
        <v>16</v>
      </c>
    </row>
    <row r="206" spans="1:11" ht="62.1" customHeight="1">
      <c r="A206" s="5">
        <v>205</v>
      </c>
      <c r="B206" s="6" t="s">
        <v>617</v>
      </c>
      <c r="C206" s="6" t="s">
        <v>245</v>
      </c>
      <c r="D206" s="6" t="s">
        <v>682</v>
      </c>
      <c r="E206" s="6" t="s">
        <v>683</v>
      </c>
      <c r="F206" s="6" t="s">
        <v>684</v>
      </c>
      <c r="G206" s="6" t="s">
        <v>685</v>
      </c>
      <c r="H206" s="18">
        <v>46357</v>
      </c>
      <c r="I206" s="18">
        <v>46358</v>
      </c>
      <c r="J206" s="5">
        <v>2</v>
      </c>
      <c r="K206" s="5" t="s">
        <v>16</v>
      </c>
    </row>
    <row r="207" spans="1:11" ht="62.1" customHeight="1">
      <c r="A207" s="2">
        <v>206</v>
      </c>
      <c r="B207" s="3" t="s">
        <v>617</v>
      </c>
      <c r="C207" s="3" t="s">
        <v>245</v>
      </c>
      <c r="D207" s="3" t="s">
        <v>686</v>
      </c>
      <c r="E207" s="3" t="s">
        <v>687</v>
      </c>
      <c r="F207" s="3" t="s">
        <v>688</v>
      </c>
      <c r="G207" s="3" t="s">
        <v>689</v>
      </c>
      <c r="H207" s="19">
        <v>46357</v>
      </c>
      <c r="I207" s="19">
        <v>46358</v>
      </c>
      <c r="J207" s="2">
        <v>2</v>
      </c>
      <c r="K207" s="2" t="s">
        <v>16</v>
      </c>
    </row>
    <row r="208" spans="1:11" ht="62.1" customHeight="1">
      <c r="A208" s="5">
        <v>207</v>
      </c>
      <c r="B208" s="6" t="s">
        <v>690</v>
      </c>
      <c r="C208" s="6" t="s">
        <v>587</v>
      </c>
      <c r="D208" s="6" t="s">
        <v>691</v>
      </c>
      <c r="E208" s="6" t="s">
        <v>692</v>
      </c>
      <c r="F208" s="6" t="s">
        <v>693</v>
      </c>
      <c r="G208" s="6" t="s">
        <v>694</v>
      </c>
      <c r="H208" s="18">
        <v>46359</v>
      </c>
      <c r="I208" s="18">
        <v>46359</v>
      </c>
      <c r="J208" s="5">
        <f t="shared" ref="J208:J239" si="6">NETWORKDAYS(H208,I208)</f>
        <v>1</v>
      </c>
      <c r="K208" s="5" t="s">
        <v>16</v>
      </c>
    </row>
    <row r="209" spans="1:11" ht="62.1" customHeight="1">
      <c r="A209" s="5">
        <v>208</v>
      </c>
      <c r="B209" s="3" t="s">
        <v>690</v>
      </c>
      <c r="C209" s="3" t="s">
        <v>587</v>
      </c>
      <c r="D209" s="3" t="s">
        <v>695</v>
      </c>
      <c r="E209" s="3" t="s">
        <v>696</v>
      </c>
      <c r="F209" s="3" t="s">
        <v>697</v>
      </c>
      <c r="G209" s="3" t="s">
        <v>698</v>
      </c>
      <c r="H209" s="19">
        <v>46359</v>
      </c>
      <c r="I209" s="19">
        <v>46359</v>
      </c>
      <c r="J209" s="2">
        <f t="shared" si="6"/>
        <v>1</v>
      </c>
      <c r="K209" s="2" t="s">
        <v>16</v>
      </c>
    </row>
    <row r="210" spans="1:11" ht="62.1" customHeight="1">
      <c r="A210" s="2">
        <v>209</v>
      </c>
      <c r="B210" s="6" t="s">
        <v>690</v>
      </c>
      <c r="C210" s="6" t="s">
        <v>587</v>
      </c>
      <c r="D210" s="6" t="s">
        <v>699</v>
      </c>
      <c r="E210" s="6" t="s">
        <v>700</v>
      </c>
      <c r="F210" s="6" t="s">
        <v>701</v>
      </c>
      <c r="G210" s="6" t="s">
        <v>702</v>
      </c>
      <c r="H210" s="18">
        <v>46359</v>
      </c>
      <c r="I210" s="18">
        <v>46359</v>
      </c>
      <c r="J210" s="5">
        <f t="shared" si="6"/>
        <v>1</v>
      </c>
      <c r="K210" s="5" t="s">
        <v>16</v>
      </c>
    </row>
    <row r="211" spans="1:11" ht="62.1" customHeight="1">
      <c r="A211" s="5">
        <v>210</v>
      </c>
      <c r="B211" s="3" t="s">
        <v>690</v>
      </c>
      <c r="C211" s="3" t="s">
        <v>587</v>
      </c>
      <c r="D211" s="3" t="s">
        <v>703</v>
      </c>
      <c r="E211" s="3" t="s">
        <v>704</v>
      </c>
      <c r="F211" s="3" t="s">
        <v>705</v>
      </c>
      <c r="G211" s="3" t="s">
        <v>706</v>
      </c>
      <c r="H211" s="19">
        <v>46359</v>
      </c>
      <c r="I211" s="19">
        <v>46359</v>
      </c>
      <c r="J211" s="2">
        <f t="shared" si="6"/>
        <v>1</v>
      </c>
      <c r="K211" s="2" t="s">
        <v>16</v>
      </c>
    </row>
    <row r="212" spans="1:11" ht="62.1" customHeight="1">
      <c r="A212" s="5">
        <v>211</v>
      </c>
      <c r="B212" s="6" t="s">
        <v>690</v>
      </c>
      <c r="C212" s="6" t="s">
        <v>587</v>
      </c>
      <c r="D212" s="6" t="s">
        <v>707</v>
      </c>
      <c r="E212" s="6" t="s">
        <v>708</v>
      </c>
      <c r="F212" s="6" t="s">
        <v>709</v>
      </c>
      <c r="G212" s="6" t="s">
        <v>710</v>
      </c>
      <c r="H212" s="18">
        <v>46359</v>
      </c>
      <c r="I212" s="18">
        <v>46359</v>
      </c>
      <c r="J212" s="5">
        <f t="shared" si="6"/>
        <v>1</v>
      </c>
      <c r="K212" s="5" t="s">
        <v>16</v>
      </c>
    </row>
    <row r="213" spans="1:11" ht="62.1" customHeight="1">
      <c r="A213" s="2">
        <v>212</v>
      </c>
      <c r="B213" s="3" t="s">
        <v>690</v>
      </c>
      <c r="C213" s="3" t="s">
        <v>587</v>
      </c>
      <c r="D213" s="3" t="s">
        <v>711</v>
      </c>
      <c r="E213" s="3" t="s">
        <v>712</v>
      </c>
      <c r="F213" s="3" t="s">
        <v>713</v>
      </c>
      <c r="G213" s="3" t="s">
        <v>714</v>
      </c>
      <c r="H213" s="19">
        <v>46359</v>
      </c>
      <c r="I213" s="19">
        <v>46359</v>
      </c>
      <c r="J213" s="2">
        <f t="shared" si="6"/>
        <v>1</v>
      </c>
      <c r="K213" s="2" t="s">
        <v>16</v>
      </c>
    </row>
    <row r="214" spans="1:11" ht="62.1" customHeight="1">
      <c r="A214" s="5">
        <v>213</v>
      </c>
      <c r="B214" s="6" t="s">
        <v>690</v>
      </c>
      <c r="C214" s="6" t="s">
        <v>587</v>
      </c>
      <c r="D214" s="6" t="s">
        <v>715</v>
      </c>
      <c r="E214" s="6" t="s">
        <v>716</v>
      </c>
      <c r="F214" s="6" t="s">
        <v>717</v>
      </c>
      <c r="G214" s="6" t="s">
        <v>718</v>
      </c>
      <c r="H214" s="18">
        <v>46359</v>
      </c>
      <c r="I214" s="18">
        <v>46359</v>
      </c>
      <c r="J214" s="5">
        <f t="shared" si="6"/>
        <v>1</v>
      </c>
      <c r="K214" s="5" t="s">
        <v>16</v>
      </c>
    </row>
    <row r="215" spans="1:11" ht="62.1" customHeight="1">
      <c r="A215" s="5">
        <v>214</v>
      </c>
      <c r="B215" s="3" t="s">
        <v>690</v>
      </c>
      <c r="C215" s="3" t="s">
        <v>587</v>
      </c>
      <c r="D215" s="3" t="s">
        <v>719</v>
      </c>
      <c r="E215" s="3" t="s">
        <v>720</v>
      </c>
      <c r="F215" s="3" t="s">
        <v>721</v>
      </c>
      <c r="G215" s="3" t="s">
        <v>722</v>
      </c>
      <c r="H215" s="19">
        <v>46359</v>
      </c>
      <c r="I215" s="19">
        <v>46359</v>
      </c>
      <c r="J215" s="2">
        <f t="shared" si="6"/>
        <v>1</v>
      </c>
      <c r="K215" s="2" t="s">
        <v>16</v>
      </c>
    </row>
    <row r="216" spans="1:11" ht="62.1" customHeight="1">
      <c r="A216" s="2">
        <v>215</v>
      </c>
      <c r="B216" s="6" t="s">
        <v>690</v>
      </c>
      <c r="C216" s="6" t="s">
        <v>587</v>
      </c>
      <c r="D216" s="6" t="s">
        <v>723</v>
      </c>
      <c r="E216" s="6" t="s">
        <v>724</v>
      </c>
      <c r="F216" s="6" t="s">
        <v>725</v>
      </c>
      <c r="G216" s="6" t="s">
        <v>726</v>
      </c>
      <c r="H216" s="18">
        <v>46359</v>
      </c>
      <c r="I216" s="18">
        <v>46359</v>
      </c>
      <c r="J216" s="5">
        <f t="shared" si="6"/>
        <v>1</v>
      </c>
      <c r="K216" s="5" t="s">
        <v>16</v>
      </c>
    </row>
    <row r="217" spans="1:11" ht="62.1" customHeight="1">
      <c r="A217" s="5">
        <v>216</v>
      </c>
      <c r="B217" s="3" t="s">
        <v>690</v>
      </c>
      <c r="C217" s="3" t="s">
        <v>587</v>
      </c>
      <c r="D217" s="3" t="s">
        <v>727</v>
      </c>
      <c r="E217" s="3" t="s">
        <v>728</v>
      </c>
      <c r="F217" s="3" t="s">
        <v>729</v>
      </c>
      <c r="G217" s="3" t="s">
        <v>730</v>
      </c>
      <c r="H217" s="19">
        <v>46360</v>
      </c>
      <c r="I217" s="19">
        <v>46360</v>
      </c>
      <c r="J217" s="2">
        <f t="shared" si="6"/>
        <v>1</v>
      </c>
      <c r="K217" s="2" t="s">
        <v>16</v>
      </c>
    </row>
    <row r="218" spans="1:11" ht="62.1" customHeight="1">
      <c r="A218" s="5">
        <v>217</v>
      </c>
      <c r="B218" s="6" t="s">
        <v>690</v>
      </c>
      <c r="C218" s="6" t="s">
        <v>587</v>
      </c>
      <c r="D218" s="6" t="s">
        <v>731</v>
      </c>
      <c r="E218" s="6" t="s">
        <v>732</v>
      </c>
      <c r="F218" s="6" t="s">
        <v>733</v>
      </c>
      <c r="G218" s="6" t="s">
        <v>734</v>
      </c>
      <c r="H218" s="18">
        <v>46360</v>
      </c>
      <c r="I218" s="18">
        <v>46360</v>
      </c>
      <c r="J218" s="5">
        <f t="shared" si="6"/>
        <v>1</v>
      </c>
      <c r="K218" s="5" t="s">
        <v>16</v>
      </c>
    </row>
    <row r="219" spans="1:11" ht="62.1" customHeight="1">
      <c r="A219" s="2">
        <v>218</v>
      </c>
      <c r="B219" s="3" t="s">
        <v>690</v>
      </c>
      <c r="C219" s="3" t="s">
        <v>587</v>
      </c>
      <c r="D219" s="3" t="s">
        <v>735</v>
      </c>
      <c r="E219" s="3" t="s">
        <v>736</v>
      </c>
      <c r="F219" s="3" t="s">
        <v>737</v>
      </c>
      <c r="G219" s="3" t="s">
        <v>738</v>
      </c>
      <c r="H219" s="19">
        <v>46360</v>
      </c>
      <c r="I219" s="19">
        <v>46360</v>
      </c>
      <c r="J219" s="2">
        <f t="shared" si="6"/>
        <v>1</v>
      </c>
      <c r="K219" s="2" t="s">
        <v>16</v>
      </c>
    </row>
    <row r="220" spans="1:11" ht="62.1" customHeight="1">
      <c r="A220" s="5">
        <v>219</v>
      </c>
      <c r="B220" s="6" t="s">
        <v>690</v>
      </c>
      <c r="C220" s="6" t="s">
        <v>587</v>
      </c>
      <c r="D220" s="6" t="s">
        <v>739</v>
      </c>
      <c r="E220" s="6" t="s">
        <v>740</v>
      </c>
      <c r="F220" s="6" t="s">
        <v>741</v>
      </c>
      <c r="G220" s="6" t="s">
        <v>742</v>
      </c>
      <c r="H220" s="18">
        <v>46360</v>
      </c>
      <c r="I220" s="18">
        <v>46360</v>
      </c>
      <c r="J220" s="5">
        <f t="shared" si="6"/>
        <v>1</v>
      </c>
      <c r="K220" s="5" t="s">
        <v>16</v>
      </c>
    </row>
    <row r="221" spans="1:11" ht="62.1" customHeight="1">
      <c r="A221" s="5">
        <v>220</v>
      </c>
      <c r="B221" s="3" t="s">
        <v>690</v>
      </c>
      <c r="C221" s="3" t="s">
        <v>587</v>
      </c>
      <c r="D221" s="3" t="s">
        <v>743</v>
      </c>
      <c r="E221" s="3" t="s">
        <v>744</v>
      </c>
      <c r="F221" s="3" t="s">
        <v>745</v>
      </c>
      <c r="G221" s="3" t="s">
        <v>746</v>
      </c>
      <c r="H221" s="19">
        <v>46360</v>
      </c>
      <c r="I221" s="19">
        <v>46360</v>
      </c>
      <c r="J221" s="2">
        <f t="shared" si="6"/>
        <v>1</v>
      </c>
      <c r="K221" s="2" t="s">
        <v>16</v>
      </c>
    </row>
    <row r="222" spans="1:11" ht="62.1" customHeight="1">
      <c r="A222" s="2">
        <v>221</v>
      </c>
      <c r="B222" s="6" t="s">
        <v>690</v>
      </c>
      <c r="C222" s="6" t="s">
        <v>587</v>
      </c>
      <c r="D222" s="6" t="s">
        <v>747</v>
      </c>
      <c r="E222" s="6" t="s">
        <v>748</v>
      </c>
      <c r="F222" s="6" t="s">
        <v>749</v>
      </c>
      <c r="G222" s="6" t="s">
        <v>750</v>
      </c>
      <c r="H222" s="18">
        <v>46360</v>
      </c>
      <c r="I222" s="18">
        <v>46360</v>
      </c>
      <c r="J222" s="5">
        <f t="shared" si="6"/>
        <v>1</v>
      </c>
      <c r="K222" s="5" t="s">
        <v>16</v>
      </c>
    </row>
    <row r="223" spans="1:11" ht="62.1" customHeight="1">
      <c r="A223" s="5">
        <v>222</v>
      </c>
      <c r="B223" s="3" t="s">
        <v>690</v>
      </c>
      <c r="C223" s="3" t="s">
        <v>587</v>
      </c>
      <c r="D223" s="3" t="s">
        <v>751</v>
      </c>
      <c r="E223" s="3" t="s">
        <v>752</v>
      </c>
      <c r="F223" s="3" t="s">
        <v>753</v>
      </c>
      <c r="G223" s="3" t="s">
        <v>754</v>
      </c>
      <c r="H223" s="19">
        <v>46360</v>
      </c>
      <c r="I223" s="19">
        <v>46360</v>
      </c>
      <c r="J223" s="2">
        <f t="shared" si="6"/>
        <v>1</v>
      </c>
      <c r="K223" s="2" t="s">
        <v>16</v>
      </c>
    </row>
    <row r="224" spans="1:11" ht="62.1" customHeight="1">
      <c r="A224" s="5">
        <v>223</v>
      </c>
      <c r="B224" s="6" t="s">
        <v>690</v>
      </c>
      <c r="C224" s="6" t="s">
        <v>587</v>
      </c>
      <c r="D224" s="6" t="s">
        <v>755</v>
      </c>
      <c r="E224" s="6" t="s">
        <v>756</v>
      </c>
      <c r="F224" s="6" t="s">
        <v>757</v>
      </c>
      <c r="G224" s="6" t="s">
        <v>758</v>
      </c>
      <c r="H224" s="18">
        <v>46360</v>
      </c>
      <c r="I224" s="18">
        <v>46360</v>
      </c>
      <c r="J224" s="5">
        <f t="shared" si="6"/>
        <v>1</v>
      </c>
      <c r="K224" s="5" t="s">
        <v>16</v>
      </c>
    </row>
    <row r="225" spans="1:11" ht="62.1" customHeight="1">
      <c r="A225" s="2">
        <v>224</v>
      </c>
      <c r="B225" s="3" t="s">
        <v>690</v>
      </c>
      <c r="C225" s="3" t="s">
        <v>587</v>
      </c>
      <c r="D225" s="3" t="s">
        <v>759</v>
      </c>
      <c r="E225" s="3" t="s">
        <v>760</v>
      </c>
      <c r="F225" s="3" t="s">
        <v>761</v>
      </c>
      <c r="G225" s="3" t="s">
        <v>762</v>
      </c>
      <c r="H225" s="19">
        <v>46360</v>
      </c>
      <c r="I225" s="19">
        <v>46360</v>
      </c>
      <c r="J225" s="2">
        <f t="shared" si="6"/>
        <v>1</v>
      </c>
      <c r="K225" s="2" t="s">
        <v>16</v>
      </c>
    </row>
    <row r="226" spans="1:11" ht="62.1" customHeight="1">
      <c r="A226" s="5">
        <v>225</v>
      </c>
      <c r="B226" s="6" t="s">
        <v>690</v>
      </c>
      <c r="C226" s="6" t="s">
        <v>587</v>
      </c>
      <c r="D226" s="6" t="s">
        <v>763</v>
      </c>
      <c r="E226" s="6" t="s">
        <v>764</v>
      </c>
      <c r="F226" s="6" t="s">
        <v>765</v>
      </c>
      <c r="G226" s="6" t="s">
        <v>766</v>
      </c>
      <c r="H226" s="18">
        <v>46363</v>
      </c>
      <c r="I226" s="18">
        <v>46363</v>
      </c>
      <c r="J226" s="5">
        <f t="shared" si="6"/>
        <v>1</v>
      </c>
      <c r="K226" s="5" t="s">
        <v>16</v>
      </c>
    </row>
    <row r="227" spans="1:11" ht="62.1" customHeight="1">
      <c r="A227" s="5">
        <v>226</v>
      </c>
      <c r="B227" s="3" t="s">
        <v>690</v>
      </c>
      <c r="C227" s="3" t="s">
        <v>587</v>
      </c>
      <c r="D227" s="3" t="s">
        <v>767</v>
      </c>
      <c r="E227" s="3" t="s">
        <v>768</v>
      </c>
      <c r="F227" s="3" t="s">
        <v>769</v>
      </c>
      <c r="G227" s="3" t="s">
        <v>770</v>
      </c>
      <c r="H227" s="19">
        <v>46363</v>
      </c>
      <c r="I227" s="19">
        <v>46363</v>
      </c>
      <c r="J227" s="2">
        <f t="shared" si="6"/>
        <v>1</v>
      </c>
      <c r="K227" s="2" t="s">
        <v>16</v>
      </c>
    </row>
    <row r="228" spans="1:11" ht="62.1" customHeight="1">
      <c r="A228" s="2">
        <v>227</v>
      </c>
      <c r="B228" s="6" t="s">
        <v>690</v>
      </c>
      <c r="C228" s="6" t="s">
        <v>587</v>
      </c>
      <c r="D228" s="6" t="s">
        <v>771</v>
      </c>
      <c r="E228" s="6" t="s">
        <v>772</v>
      </c>
      <c r="F228" s="6" t="s">
        <v>773</v>
      </c>
      <c r="G228" s="6" t="s">
        <v>774</v>
      </c>
      <c r="H228" s="18">
        <v>46363</v>
      </c>
      <c r="I228" s="18">
        <v>46363</v>
      </c>
      <c r="J228" s="5">
        <f t="shared" si="6"/>
        <v>1</v>
      </c>
      <c r="K228" s="5" t="s">
        <v>16</v>
      </c>
    </row>
    <row r="229" spans="1:11" ht="62.1" customHeight="1">
      <c r="A229" s="5">
        <v>228</v>
      </c>
      <c r="B229" s="3" t="s">
        <v>690</v>
      </c>
      <c r="C229" s="3" t="s">
        <v>587</v>
      </c>
      <c r="D229" s="3" t="s">
        <v>775</v>
      </c>
      <c r="E229" s="3" t="s">
        <v>776</v>
      </c>
      <c r="F229" s="3" t="s">
        <v>777</v>
      </c>
      <c r="G229" s="3" t="s">
        <v>778</v>
      </c>
      <c r="H229" s="19">
        <v>46363</v>
      </c>
      <c r="I229" s="19">
        <v>46363</v>
      </c>
      <c r="J229" s="2">
        <f t="shared" si="6"/>
        <v>1</v>
      </c>
      <c r="K229" s="2" t="s">
        <v>16</v>
      </c>
    </row>
    <row r="230" spans="1:11" ht="62.1" customHeight="1">
      <c r="A230" s="5">
        <v>229</v>
      </c>
      <c r="B230" s="6" t="s">
        <v>690</v>
      </c>
      <c r="C230" s="6" t="s">
        <v>587</v>
      </c>
      <c r="D230" s="6" t="s">
        <v>779</v>
      </c>
      <c r="E230" s="6" t="s">
        <v>780</v>
      </c>
      <c r="F230" s="6" t="s">
        <v>781</v>
      </c>
      <c r="G230" s="6" t="s">
        <v>782</v>
      </c>
      <c r="H230" s="18">
        <v>46363</v>
      </c>
      <c r="I230" s="18">
        <v>46363</v>
      </c>
      <c r="J230" s="5">
        <f t="shared" si="6"/>
        <v>1</v>
      </c>
      <c r="K230" s="5" t="s">
        <v>16</v>
      </c>
    </row>
    <row r="231" spans="1:11" ht="62.1" customHeight="1">
      <c r="A231" s="2">
        <v>230</v>
      </c>
      <c r="B231" s="3" t="s">
        <v>690</v>
      </c>
      <c r="C231" s="3" t="s">
        <v>587</v>
      </c>
      <c r="D231" s="3" t="s">
        <v>783</v>
      </c>
      <c r="E231" s="3" t="s">
        <v>784</v>
      </c>
      <c r="F231" s="3" t="s">
        <v>785</v>
      </c>
      <c r="G231" s="3" t="s">
        <v>786</v>
      </c>
      <c r="H231" s="19">
        <v>46363</v>
      </c>
      <c r="I231" s="19">
        <v>46363</v>
      </c>
      <c r="J231" s="2">
        <f t="shared" si="6"/>
        <v>1</v>
      </c>
      <c r="K231" s="2" t="s">
        <v>16</v>
      </c>
    </row>
    <row r="232" spans="1:11" ht="62.1" customHeight="1">
      <c r="A232" s="5">
        <v>231</v>
      </c>
      <c r="B232" s="6" t="s">
        <v>690</v>
      </c>
      <c r="C232" s="6" t="s">
        <v>587</v>
      </c>
      <c r="D232" s="6" t="s">
        <v>787</v>
      </c>
      <c r="E232" s="6" t="s">
        <v>788</v>
      </c>
      <c r="F232" s="6" t="s">
        <v>789</v>
      </c>
      <c r="G232" s="6" t="s">
        <v>790</v>
      </c>
      <c r="H232" s="18">
        <v>46363</v>
      </c>
      <c r="I232" s="18">
        <v>46363</v>
      </c>
      <c r="J232" s="5">
        <f t="shared" si="6"/>
        <v>1</v>
      </c>
      <c r="K232" s="5" t="s">
        <v>16</v>
      </c>
    </row>
    <row r="233" spans="1:11" ht="62.1" customHeight="1">
      <c r="A233" s="5">
        <v>232</v>
      </c>
      <c r="B233" s="3" t="s">
        <v>690</v>
      </c>
      <c r="C233" s="3" t="s">
        <v>587</v>
      </c>
      <c r="D233" s="3" t="s">
        <v>791</v>
      </c>
      <c r="E233" s="3" t="s">
        <v>792</v>
      </c>
      <c r="F233" s="3" t="s">
        <v>793</v>
      </c>
      <c r="G233" s="3" t="s">
        <v>794</v>
      </c>
      <c r="H233" s="19">
        <v>46363</v>
      </c>
      <c r="I233" s="19">
        <v>46363</v>
      </c>
      <c r="J233" s="2">
        <f t="shared" si="6"/>
        <v>1</v>
      </c>
      <c r="K233" s="2" t="s">
        <v>16</v>
      </c>
    </row>
    <row r="234" spans="1:11" ht="62.1" customHeight="1">
      <c r="A234" s="2">
        <v>233</v>
      </c>
      <c r="B234" s="6" t="s">
        <v>690</v>
      </c>
      <c r="C234" s="6" t="s">
        <v>587</v>
      </c>
      <c r="D234" s="6" t="s">
        <v>795</v>
      </c>
      <c r="E234" s="6" t="s">
        <v>796</v>
      </c>
      <c r="F234" s="6" t="s">
        <v>797</v>
      </c>
      <c r="G234" s="6" t="s">
        <v>798</v>
      </c>
      <c r="H234" s="18">
        <v>46363</v>
      </c>
      <c r="I234" s="18">
        <v>46363</v>
      </c>
      <c r="J234" s="5">
        <f t="shared" si="6"/>
        <v>1</v>
      </c>
      <c r="K234" s="5" t="s">
        <v>16</v>
      </c>
    </row>
    <row r="235" spans="1:11" ht="62.1" customHeight="1">
      <c r="A235" s="5">
        <v>234</v>
      </c>
      <c r="B235" s="3" t="s">
        <v>690</v>
      </c>
      <c r="C235" s="3" t="s">
        <v>587</v>
      </c>
      <c r="D235" s="3" t="s">
        <v>799</v>
      </c>
      <c r="E235" s="3" t="s">
        <v>800</v>
      </c>
      <c r="F235" s="3" t="s">
        <v>801</v>
      </c>
      <c r="G235" s="3" t="s">
        <v>802</v>
      </c>
      <c r="H235" s="19">
        <v>46364</v>
      </c>
      <c r="I235" s="19">
        <v>46364</v>
      </c>
      <c r="J235" s="2">
        <f t="shared" si="6"/>
        <v>1</v>
      </c>
      <c r="K235" s="2" t="s">
        <v>16</v>
      </c>
    </row>
    <row r="236" spans="1:11" ht="62.1" customHeight="1">
      <c r="A236" s="5">
        <v>235</v>
      </c>
      <c r="B236" s="6" t="s">
        <v>690</v>
      </c>
      <c r="C236" s="6" t="s">
        <v>587</v>
      </c>
      <c r="D236" s="6" t="s">
        <v>803</v>
      </c>
      <c r="E236" s="6" t="s">
        <v>804</v>
      </c>
      <c r="F236" s="6" t="s">
        <v>805</v>
      </c>
      <c r="G236" s="6" t="s">
        <v>806</v>
      </c>
      <c r="H236" s="18">
        <v>46364</v>
      </c>
      <c r="I236" s="18">
        <v>46364</v>
      </c>
      <c r="J236" s="5">
        <f t="shared" si="6"/>
        <v>1</v>
      </c>
      <c r="K236" s="5" t="s">
        <v>16</v>
      </c>
    </row>
    <row r="237" spans="1:11" ht="62.1" customHeight="1">
      <c r="A237" s="2">
        <v>236</v>
      </c>
      <c r="B237" s="3" t="s">
        <v>690</v>
      </c>
      <c r="C237" s="3" t="s">
        <v>587</v>
      </c>
      <c r="D237" s="3" t="s">
        <v>807</v>
      </c>
      <c r="E237" s="3" t="s">
        <v>808</v>
      </c>
      <c r="F237" s="3" t="s">
        <v>809</v>
      </c>
      <c r="G237" s="3" t="s">
        <v>810</v>
      </c>
      <c r="H237" s="19">
        <v>46364</v>
      </c>
      <c r="I237" s="19">
        <v>46364</v>
      </c>
      <c r="J237" s="2">
        <f t="shared" si="6"/>
        <v>1</v>
      </c>
      <c r="K237" s="2" t="s">
        <v>16</v>
      </c>
    </row>
    <row r="238" spans="1:11" ht="62.1" customHeight="1">
      <c r="A238" s="5">
        <v>237</v>
      </c>
      <c r="B238" s="6" t="s">
        <v>690</v>
      </c>
      <c r="C238" s="6" t="s">
        <v>587</v>
      </c>
      <c r="D238" s="6" t="s">
        <v>811</v>
      </c>
      <c r="E238" s="6" t="s">
        <v>812</v>
      </c>
      <c r="F238" s="6" t="s">
        <v>813</v>
      </c>
      <c r="G238" s="6" t="s">
        <v>814</v>
      </c>
      <c r="H238" s="18">
        <v>46364</v>
      </c>
      <c r="I238" s="18">
        <v>46364</v>
      </c>
      <c r="J238" s="5">
        <f t="shared" si="6"/>
        <v>1</v>
      </c>
      <c r="K238" s="5" t="s">
        <v>16</v>
      </c>
    </row>
    <row r="239" spans="1:11" ht="62.1" customHeight="1">
      <c r="A239" s="5">
        <v>238</v>
      </c>
      <c r="B239" s="3" t="s">
        <v>690</v>
      </c>
      <c r="C239" s="3" t="s">
        <v>587</v>
      </c>
      <c r="D239" s="3" t="s">
        <v>815</v>
      </c>
      <c r="E239" s="3" t="s">
        <v>816</v>
      </c>
      <c r="F239" s="3" t="s">
        <v>817</v>
      </c>
      <c r="G239" s="3" t="s">
        <v>818</v>
      </c>
      <c r="H239" s="19">
        <v>46364</v>
      </c>
      <c r="I239" s="19">
        <v>46364</v>
      </c>
      <c r="J239" s="2">
        <f t="shared" si="6"/>
        <v>1</v>
      </c>
      <c r="K239" s="2" t="s">
        <v>16</v>
      </c>
    </row>
    <row r="240" spans="1:11" ht="62.1" customHeight="1">
      <c r="A240" s="2">
        <v>239</v>
      </c>
      <c r="B240" s="6" t="s">
        <v>690</v>
      </c>
      <c r="C240" s="6" t="s">
        <v>587</v>
      </c>
      <c r="D240" s="6" t="s">
        <v>819</v>
      </c>
      <c r="E240" s="6" t="s">
        <v>820</v>
      </c>
      <c r="F240" s="6" t="s">
        <v>821</v>
      </c>
      <c r="G240" s="6" t="s">
        <v>822</v>
      </c>
      <c r="H240" s="18">
        <v>46364</v>
      </c>
      <c r="I240" s="18">
        <v>46364</v>
      </c>
      <c r="J240" s="5">
        <f t="shared" ref="J240:J271" si="7">NETWORKDAYS(H240,I240)</f>
        <v>1</v>
      </c>
      <c r="K240" s="5" t="s">
        <v>16</v>
      </c>
    </row>
    <row r="241" spans="1:11" ht="62.1" customHeight="1">
      <c r="A241" s="5">
        <v>240</v>
      </c>
      <c r="B241" s="3" t="s">
        <v>690</v>
      </c>
      <c r="C241" s="3" t="s">
        <v>587</v>
      </c>
      <c r="D241" s="3" t="s">
        <v>823</v>
      </c>
      <c r="E241" s="3" t="s">
        <v>824</v>
      </c>
      <c r="F241" s="3" t="s">
        <v>825</v>
      </c>
      <c r="G241" s="3" t="s">
        <v>826</v>
      </c>
      <c r="H241" s="19">
        <v>46364</v>
      </c>
      <c r="I241" s="19">
        <v>46364</v>
      </c>
      <c r="J241" s="2">
        <f t="shared" si="7"/>
        <v>1</v>
      </c>
      <c r="K241" s="2" t="s">
        <v>16</v>
      </c>
    </row>
    <row r="242" spans="1:11" ht="62.1" customHeight="1">
      <c r="A242" s="5">
        <v>241</v>
      </c>
      <c r="B242" s="6" t="s">
        <v>690</v>
      </c>
      <c r="C242" s="6" t="s">
        <v>587</v>
      </c>
      <c r="D242" s="6" t="s">
        <v>827</v>
      </c>
      <c r="E242" s="6" t="s">
        <v>828</v>
      </c>
      <c r="F242" s="6" t="s">
        <v>829</v>
      </c>
      <c r="G242" s="6" t="s">
        <v>830</v>
      </c>
      <c r="H242" s="18">
        <v>46364</v>
      </c>
      <c r="I242" s="18">
        <v>46364</v>
      </c>
      <c r="J242" s="5">
        <f t="shared" si="7"/>
        <v>1</v>
      </c>
      <c r="K242" s="5" t="s">
        <v>16</v>
      </c>
    </row>
    <row r="243" spans="1:11" ht="62.1" customHeight="1">
      <c r="A243" s="2">
        <v>242</v>
      </c>
      <c r="B243" s="3" t="s">
        <v>690</v>
      </c>
      <c r="C243" s="3" t="s">
        <v>587</v>
      </c>
      <c r="D243" s="3" t="s">
        <v>831</v>
      </c>
      <c r="E243" s="3" t="s">
        <v>832</v>
      </c>
      <c r="F243" s="3" t="s">
        <v>833</v>
      </c>
      <c r="G243" s="3" t="s">
        <v>834</v>
      </c>
      <c r="H243" s="19">
        <v>46364</v>
      </c>
      <c r="I243" s="19">
        <v>46364</v>
      </c>
      <c r="J243" s="2">
        <f t="shared" si="7"/>
        <v>1</v>
      </c>
      <c r="K243" s="2" t="s">
        <v>16</v>
      </c>
    </row>
    <row r="244" spans="1:11" ht="62.1" customHeight="1">
      <c r="A244" s="5">
        <v>243</v>
      </c>
      <c r="B244" s="6" t="s">
        <v>690</v>
      </c>
      <c r="C244" s="6" t="s">
        <v>587</v>
      </c>
      <c r="D244" s="6" t="s">
        <v>835</v>
      </c>
      <c r="E244" s="6" t="s">
        <v>836</v>
      </c>
      <c r="F244" s="6" t="s">
        <v>837</v>
      </c>
      <c r="G244" s="6" t="s">
        <v>838</v>
      </c>
      <c r="H244" s="18">
        <v>46364</v>
      </c>
      <c r="I244" s="18">
        <v>46364</v>
      </c>
      <c r="J244" s="5">
        <f t="shared" si="7"/>
        <v>1</v>
      </c>
      <c r="K244" s="5" t="s">
        <v>16</v>
      </c>
    </row>
    <row r="245" spans="1:11" ht="62.1" customHeight="1">
      <c r="A245" s="5">
        <v>244</v>
      </c>
      <c r="B245" s="3" t="s">
        <v>690</v>
      </c>
      <c r="C245" s="3" t="s">
        <v>587</v>
      </c>
      <c r="D245" s="3" t="s">
        <v>839</v>
      </c>
      <c r="E245" s="3" t="s">
        <v>840</v>
      </c>
      <c r="F245" s="3" t="s">
        <v>841</v>
      </c>
      <c r="G245" s="3" t="s">
        <v>842</v>
      </c>
      <c r="H245" s="19">
        <v>46364</v>
      </c>
      <c r="I245" s="19">
        <v>46364</v>
      </c>
      <c r="J245" s="2">
        <f t="shared" si="7"/>
        <v>1</v>
      </c>
      <c r="K245" s="2" t="s">
        <v>16</v>
      </c>
    </row>
    <row r="246" spans="1:11" ht="62.1" customHeight="1">
      <c r="A246" s="2">
        <v>245</v>
      </c>
      <c r="B246" s="6" t="s">
        <v>690</v>
      </c>
      <c r="C246" s="6" t="s">
        <v>587</v>
      </c>
      <c r="D246" s="6" t="s">
        <v>843</v>
      </c>
      <c r="E246" s="6" t="s">
        <v>844</v>
      </c>
      <c r="F246" s="6" t="s">
        <v>845</v>
      </c>
      <c r="G246" s="6" t="s">
        <v>846</v>
      </c>
      <c r="H246" s="18">
        <v>46364</v>
      </c>
      <c r="I246" s="18">
        <v>46364</v>
      </c>
      <c r="J246" s="5">
        <f t="shared" si="7"/>
        <v>1</v>
      </c>
      <c r="K246" s="5" t="s">
        <v>16</v>
      </c>
    </row>
    <row r="247" spans="1:11" ht="62.1" customHeight="1">
      <c r="A247" s="5">
        <v>246</v>
      </c>
      <c r="B247" s="3" t="s">
        <v>690</v>
      </c>
      <c r="C247" s="3" t="s">
        <v>587</v>
      </c>
      <c r="D247" s="3" t="s">
        <v>847</v>
      </c>
      <c r="E247" s="3" t="s">
        <v>848</v>
      </c>
      <c r="F247" s="3" t="s">
        <v>849</v>
      </c>
      <c r="G247" s="3" t="s">
        <v>850</v>
      </c>
      <c r="H247" s="19">
        <v>46364</v>
      </c>
      <c r="I247" s="19">
        <v>46364</v>
      </c>
      <c r="J247" s="2">
        <f t="shared" si="7"/>
        <v>1</v>
      </c>
      <c r="K247" s="2" t="s">
        <v>16</v>
      </c>
    </row>
    <row r="248" spans="1:11" ht="62.1" customHeight="1">
      <c r="A248" s="5">
        <v>247</v>
      </c>
      <c r="B248" s="6" t="s">
        <v>690</v>
      </c>
      <c r="C248" s="6" t="s">
        <v>587</v>
      </c>
      <c r="D248" s="6" t="s">
        <v>851</v>
      </c>
      <c r="E248" s="6" t="s">
        <v>852</v>
      </c>
      <c r="F248" s="6" t="s">
        <v>853</v>
      </c>
      <c r="G248" s="6" t="s">
        <v>854</v>
      </c>
      <c r="H248" s="18">
        <v>46364</v>
      </c>
      <c r="I248" s="18">
        <v>46364</v>
      </c>
      <c r="J248" s="5">
        <f t="shared" si="7"/>
        <v>1</v>
      </c>
      <c r="K248" s="5" t="s">
        <v>16</v>
      </c>
    </row>
    <row r="249" spans="1:11" ht="62.1" customHeight="1">
      <c r="A249" s="2">
        <v>248</v>
      </c>
      <c r="B249" s="3" t="s">
        <v>690</v>
      </c>
      <c r="C249" s="3" t="s">
        <v>587</v>
      </c>
      <c r="D249" s="3" t="s">
        <v>855</v>
      </c>
      <c r="E249" s="3" t="s">
        <v>856</v>
      </c>
      <c r="F249" s="3" t="s">
        <v>857</v>
      </c>
      <c r="G249" s="3" t="s">
        <v>858</v>
      </c>
      <c r="H249" s="19">
        <v>46364</v>
      </c>
      <c r="I249" s="19">
        <v>46364</v>
      </c>
      <c r="J249" s="2">
        <f t="shared" si="7"/>
        <v>1</v>
      </c>
      <c r="K249" s="2" t="s">
        <v>16</v>
      </c>
    </row>
    <row r="250" spans="1:11" ht="62.1" customHeight="1">
      <c r="A250" s="5">
        <v>249</v>
      </c>
      <c r="B250" s="6" t="s">
        <v>690</v>
      </c>
      <c r="C250" s="6" t="s">
        <v>587</v>
      </c>
      <c r="D250" s="6" t="s">
        <v>859</v>
      </c>
      <c r="E250" s="6" t="s">
        <v>860</v>
      </c>
      <c r="F250" s="6" t="s">
        <v>861</v>
      </c>
      <c r="G250" s="6" t="s">
        <v>862</v>
      </c>
      <c r="H250" s="18">
        <v>46364</v>
      </c>
      <c r="I250" s="18">
        <v>46364</v>
      </c>
      <c r="J250" s="5">
        <f t="shared" si="7"/>
        <v>1</v>
      </c>
      <c r="K250" s="5" t="s">
        <v>16</v>
      </c>
    </row>
    <row r="251" spans="1:11" ht="62.1" customHeight="1">
      <c r="A251" s="5">
        <v>250</v>
      </c>
      <c r="B251" s="3" t="s">
        <v>690</v>
      </c>
      <c r="C251" s="3" t="s">
        <v>587</v>
      </c>
      <c r="D251" s="3" t="s">
        <v>863</v>
      </c>
      <c r="E251" s="3" t="s">
        <v>864</v>
      </c>
      <c r="F251" s="3" t="s">
        <v>865</v>
      </c>
      <c r="G251" s="3" t="s">
        <v>866</v>
      </c>
      <c r="H251" s="19">
        <v>46364</v>
      </c>
      <c r="I251" s="19">
        <v>46364</v>
      </c>
      <c r="J251" s="2">
        <f t="shared" si="7"/>
        <v>1</v>
      </c>
      <c r="K251" s="2" t="s">
        <v>16</v>
      </c>
    </row>
    <row r="252" spans="1:11" ht="62.1" customHeight="1">
      <c r="A252" s="2">
        <v>251</v>
      </c>
      <c r="B252" s="6" t="s">
        <v>690</v>
      </c>
      <c r="C252" s="6" t="s">
        <v>587</v>
      </c>
      <c r="D252" s="6" t="s">
        <v>867</v>
      </c>
      <c r="E252" s="6" t="s">
        <v>868</v>
      </c>
      <c r="F252" s="6" t="s">
        <v>869</v>
      </c>
      <c r="G252" s="6" t="s">
        <v>870</v>
      </c>
      <c r="H252" s="18">
        <v>46364</v>
      </c>
      <c r="I252" s="18">
        <v>46364</v>
      </c>
      <c r="J252" s="5">
        <f t="shared" si="7"/>
        <v>1</v>
      </c>
      <c r="K252" s="5" t="s">
        <v>16</v>
      </c>
    </row>
    <row r="253" spans="1:11" ht="62.1" customHeight="1">
      <c r="A253" s="5">
        <v>252</v>
      </c>
      <c r="B253" s="3" t="s">
        <v>690</v>
      </c>
      <c r="C253" s="3" t="s">
        <v>587</v>
      </c>
      <c r="D253" s="3" t="s">
        <v>871</v>
      </c>
      <c r="E253" s="3" t="s">
        <v>872</v>
      </c>
      <c r="F253" s="3" t="s">
        <v>873</v>
      </c>
      <c r="G253" s="3" t="s">
        <v>874</v>
      </c>
      <c r="H253" s="19">
        <v>46365</v>
      </c>
      <c r="I253" s="19">
        <v>46365</v>
      </c>
      <c r="J253" s="2">
        <f t="shared" si="7"/>
        <v>1</v>
      </c>
      <c r="K253" s="2" t="s">
        <v>16</v>
      </c>
    </row>
    <row r="254" spans="1:11" ht="62.1" customHeight="1">
      <c r="A254" s="5">
        <v>253</v>
      </c>
      <c r="B254" s="6" t="s">
        <v>690</v>
      </c>
      <c r="C254" s="6" t="s">
        <v>587</v>
      </c>
      <c r="D254" s="6" t="s">
        <v>875</v>
      </c>
      <c r="E254" s="6" t="s">
        <v>876</v>
      </c>
      <c r="F254" s="6" t="s">
        <v>877</v>
      </c>
      <c r="G254" s="6" t="s">
        <v>878</v>
      </c>
      <c r="H254" s="18">
        <v>46365</v>
      </c>
      <c r="I254" s="18">
        <v>46365</v>
      </c>
      <c r="J254" s="5">
        <f t="shared" si="7"/>
        <v>1</v>
      </c>
      <c r="K254" s="5" t="s">
        <v>16</v>
      </c>
    </row>
    <row r="255" spans="1:11" ht="62.1" customHeight="1">
      <c r="A255" s="2">
        <v>254</v>
      </c>
      <c r="B255" s="3" t="s">
        <v>690</v>
      </c>
      <c r="C255" s="3" t="s">
        <v>587</v>
      </c>
      <c r="D255" s="3" t="s">
        <v>879</v>
      </c>
      <c r="E255" s="3" t="s">
        <v>880</v>
      </c>
      <c r="F255" s="3" t="s">
        <v>881</v>
      </c>
      <c r="G255" s="3" t="s">
        <v>882</v>
      </c>
      <c r="H255" s="19">
        <v>46365</v>
      </c>
      <c r="I255" s="19">
        <v>46365</v>
      </c>
      <c r="J255" s="2">
        <f t="shared" si="7"/>
        <v>1</v>
      </c>
      <c r="K255" s="2" t="s">
        <v>16</v>
      </c>
    </row>
    <row r="256" spans="1:11" ht="62.1" customHeight="1">
      <c r="A256" s="5">
        <v>255</v>
      </c>
      <c r="B256" s="6" t="s">
        <v>690</v>
      </c>
      <c r="C256" s="6" t="s">
        <v>587</v>
      </c>
      <c r="D256" s="6" t="s">
        <v>883</v>
      </c>
      <c r="E256" s="6" t="s">
        <v>884</v>
      </c>
      <c r="F256" s="6" t="s">
        <v>885</v>
      </c>
      <c r="G256" s="6" t="s">
        <v>886</v>
      </c>
      <c r="H256" s="18">
        <v>46365</v>
      </c>
      <c r="I256" s="18">
        <v>46365</v>
      </c>
      <c r="J256" s="5">
        <f t="shared" si="7"/>
        <v>1</v>
      </c>
      <c r="K256" s="5" t="s">
        <v>16</v>
      </c>
    </row>
    <row r="257" spans="1:11" ht="62.1" customHeight="1">
      <c r="A257" s="5">
        <v>256</v>
      </c>
      <c r="B257" s="3" t="s">
        <v>690</v>
      </c>
      <c r="C257" s="3" t="s">
        <v>587</v>
      </c>
      <c r="D257" s="3" t="s">
        <v>887</v>
      </c>
      <c r="E257" s="3" t="s">
        <v>888</v>
      </c>
      <c r="F257" s="3" t="s">
        <v>889</v>
      </c>
      <c r="G257" s="3" t="s">
        <v>890</v>
      </c>
      <c r="H257" s="19">
        <v>46365</v>
      </c>
      <c r="I257" s="19">
        <v>46365</v>
      </c>
      <c r="J257" s="2">
        <f t="shared" si="7"/>
        <v>1</v>
      </c>
      <c r="K257" s="2" t="s">
        <v>16</v>
      </c>
    </row>
    <row r="258" spans="1:11" ht="62.1" customHeight="1">
      <c r="A258" s="2">
        <v>257</v>
      </c>
      <c r="B258" s="6" t="s">
        <v>690</v>
      </c>
      <c r="C258" s="6" t="s">
        <v>587</v>
      </c>
      <c r="D258" s="6" t="s">
        <v>891</v>
      </c>
      <c r="E258" s="6" t="s">
        <v>892</v>
      </c>
      <c r="F258" s="6" t="s">
        <v>893</v>
      </c>
      <c r="G258" s="6" t="s">
        <v>894</v>
      </c>
      <c r="H258" s="18">
        <v>46365</v>
      </c>
      <c r="I258" s="18">
        <v>46365</v>
      </c>
      <c r="J258" s="5">
        <f t="shared" si="7"/>
        <v>1</v>
      </c>
      <c r="K258" s="5" t="s">
        <v>16</v>
      </c>
    </row>
    <row r="259" spans="1:11" ht="62.1" customHeight="1">
      <c r="A259" s="5">
        <v>258</v>
      </c>
      <c r="B259" s="3" t="s">
        <v>690</v>
      </c>
      <c r="C259" s="3" t="s">
        <v>587</v>
      </c>
      <c r="D259" s="3" t="s">
        <v>895</v>
      </c>
      <c r="E259" s="3" t="s">
        <v>896</v>
      </c>
      <c r="F259" s="3" t="s">
        <v>897</v>
      </c>
      <c r="G259" s="3" t="s">
        <v>898</v>
      </c>
      <c r="H259" s="19">
        <v>46365</v>
      </c>
      <c r="I259" s="19">
        <v>46365</v>
      </c>
      <c r="J259" s="2">
        <f t="shared" si="7"/>
        <v>1</v>
      </c>
      <c r="K259" s="2" t="s">
        <v>16</v>
      </c>
    </row>
    <row r="260" spans="1:11" ht="62.1" customHeight="1">
      <c r="A260" s="5">
        <v>259</v>
      </c>
      <c r="B260" s="6" t="s">
        <v>690</v>
      </c>
      <c r="C260" s="6" t="s">
        <v>587</v>
      </c>
      <c r="D260" s="6" t="s">
        <v>899</v>
      </c>
      <c r="E260" s="6" t="s">
        <v>900</v>
      </c>
      <c r="F260" s="6" t="s">
        <v>901</v>
      </c>
      <c r="G260" s="6" t="s">
        <v>902</v>
      </c>
      <c r="H260" s="18">
        <v>46365</v>
      </c>
      <c r="I260" s="18">
        <v>46365</v>
      </c>
      <c r="J260" s="5">
        <f t="shared" si="7"/>
        <v>1</v>
      </c>
      <c r="K260" s="5" t="s">
        <v>16</v>
      </c>
    </row>
    <row r="261" spans="1:11" ht="62.1" customHeight="1">
      <c r="A261" s="2">
        <v>260</v>
      </c>
      <c r="B261" s="3" t="s">
        <v>690</v>
      </c>
      <c r="C261" s="3" t="s">
        <v>587</v>
      </c>
      <c r="D261" s="3" t="s">
        <v>903</v>
      </c>
      <c r="E261" s="3" t="s">
        <v>904</v>
      </c>
      <c r="F261" s="3" t="s">
        <v>905</v>
      </c>
      <c r="G261" s="3" t="s">
        <v>906</v>
      </c>
      <c r="H261" s="19">
        <v>46365</v>
      </c>
      <c r="I261" s="19">
        <v>46365</v>
      </c>
      <c r="J261" s="2">
        <f t="shared" si="7"/>
        <v>1</v>
      </c>
      <c r="K261" s="2" t="s">
        <v>16</v>
      </c>
    </row>
    <row r="262" spans="1:11" ht="62.1" customHeight="1">
      <c r="A262" s="5">
        <v>261</v>
      </c>
      <c r="B262" s="6" t="s">
        <v>690</v>
      </c>
      <c r="C262" s="6" t="s">
        <v>587</v>
      </c>
      <c r="D262" s="6" t="s">
        <v>907</v>
      </c>
      <c r="E262" s="6" t="s">
        <v>908</v>
      </c>
      <c r="F262" s="6" t="s">
        <v>909</v>
      </c>
      <c r="G262" s="6" t="s">
        <v>910</v>
      </c>
      <c r="H262" s="18">
        <v>46365</v>
      </c>
      <c r="I262" s="18">
        <v>46365</v>
      </c>
      <c r="J262" s="5">
        <f t="shared" si="7"/>
        <v>1</v>
      </c>
      <c r="K262" s="5" t="s">
        <v>16</v>
      </c>
    </row>
    <row r="263" spans="1:11" ht="62.1" customHeight="1">
      <c r="A263" s="5">
        <v>262</v>
      </c>
      <c r="B263" s="3" t="s">
        <v>690</v>
      </c>
      <c r="C263" s="3" t="s">
        <v>587</v>
      </c>
      <c r="D263" s="3" t="s">
        <v>911</v>
      </c>
      <c r="E263" s="3" t="s">
        <v>912</v>
      </c>
      <c r="F263" s="3" t="s">
        <v>913</v>
      </c>
      <c r="G263" s="3" t="s">
        <v>914</v>
      </c>
      <c r="H263" s="19">
        <v>46365</v>
      </c>
      <c r="I263" s="19">
        <v>46365</v>
      </c>
      <c r="J263" s="2">
        <f t="shared" si="7"/>
        <v>1</v>
      </c>
      <c r="K263" s="2" t="s">
        <v>16</v>
      </c>
    </row>
    <row r="264" spans="1:11" ht="62.1" customHeight="1">
      <c r="A264" s="2">
        <v>263</v>
      </c>
      <c r="B264" s="6" t="s">
        <v>690</v>
      </c>
      <c r="C264" s="6" t="s">
        <v>587</v>
      </c>
      <c r="D264" s="6" t="s">
        <v>915</v>
      </c>
      <c r="E264" s="6" t="s">
        <v>916</v>
      </c>
      <c r="F264" s="6" t="s">
        <v>917</v>
      </c>
      <c r="G264" s="6" t="s">
        <v>918</v>
      </c>
      <c r="H264" s="18">
        <v>46365</v>
      </c>
      <c r="I264" s="18">
        <v>46365</v>
      </c>
      <c r="J264" s="5">
        <f t="shared" si="7"/>
        <v>1</v>
      </c>
      <c r="K264" s="5" t="s">
        <v>16</v>
      </c>
    </row>
    <row r="265" spans="1:11" ht="62.1" customHeight="1">
      <c r="A265" s="5">
        <v>264</v>
      </c>
      <c r="B265" s="3" t="s">
        <v>690</v>
      </c>
      <c r="C265" s="3" t="s">
        <v>587</v>
      </c>
      <c r="D265" s="3" t="s">
        <v>919</v>
      </c>
      <c r="E265" s="3" t="s">
        <v>920</v>
      </c>
      <c r="F265" s="3" t="s">
        <v>921</v>
      </c>
      <c r="G265" s="3" t="s">
        <v>922</v>
      </c>
      <c r="H265" s="19">
        <v>46365</v>
      </c>
      <c r="I265" s="19">
        <v>46365</v>
      </c>
      <c r="J265" s="2">
        <f t="shared" si="7"/>
        <v>1</v>
      </c>
      <c r="K265" s="2" t="s">
        <v>16</v>
      </c>
    </row>
    <row r="266" spans="1:11" ht="62.1" customHeight="1">
      <c r="A266" s="5">
        <v>265</v>
      </c>
      <c r="B266" s="6" t="s">
        <v>690</v>
      </c>
      <c r="C266" s="6" t="s">
        <v>587</v>
      </c>
      <c r="D266" s="6" t="s">
        <v>923</v>
      </c>
      <c r="E266" s="6" t="s">
        <v>924</v>
      </c>
      <c r="F266" s="6" t="s">
        <v>925</v>
      </c>
      <c r="G266" s="6" t="s">
        <v>926</v>
      </c>
      <c r="H266" s="18">
        <v>46365</v>
      </c>
      <c r="I266" s="18">
        <v>46365</v>
      </c>
      <c r="J266" s="5">
        <f t="shared" si="7"/>
        <v>1</v>
      </c>
      <c r="K266" s="5" t="s">
        <v>16</v>
      </c>
    </row>
    <row r="267" spans="1:11" ht="62.1" customHeight="1">
      <c r="A267" s="2">
        <v>266</v>
      </c>
      <c r="B267" s="3" t="s">
        <v>690</v>
      </c>
      <c r="C267" s="3" t="s">
        <v>587</v>
      </c>
      <c r="D267" s="3" t="s">
        <v>927</v>
      </c>
      <c r="E267" s="3" t="s">
        <v>928</v>
      </c>
      <c r="F267" s="3" t="s">
        <v>929</v>
      </c>
      <c r="G267" s="3" t="s">
        <v>930</v>
      </c>
      <c r="H267" s="19">
        <v>46365</v>
      </c>
      <c r="I267" s="19">
        <v>46365</v>
      </c>
      <c r="J267" s="2">
        <f t="shared" si="7"/>
        <v>1</v>
      </c>
      <c r="K267" s="2" t="s">
        <v>16</v>
      </c>
    </row>
    <row r="268" spans="1:11" ht="62.1" customHeight="1">
      <c r="A268" s="5">
        <v>267</v>
      </c>
      <c r="B268" s="6" t="s">
        <v>690</v>
      </c>
      <c r="C268" s="6" t="s">
        <v>587</v>
      </c>
      <c r="D268" s="6" t="s">
        <v>931</v>
      </c>
      <c r="E268" s="6" t="s">
        <v>932</v>
      </c>
      <c r="F268" s="6" t="s">
        <v>933</v>
      </c>
      <c r="G268" s="6" t="s">
        <v>934</v>
      </c>
      <c r="H268" s="18">
        <v>46366</v>
      </c>
      <c r="I268" s="18">
        <v>46366</v>
      </c>
      <c r="J268" s="5">
        <f t="shared" si="7"/>
        <v>1</v>
      </c>
      <c r="K268" s="5" t="s">
        <v>16</v>
      </c>
    </row>
    <row r="269" spans="1:11" ht="62.1" customHeight="1">
      <c r="A269" s="5">
        <v>268</v>
      </c>
      <c r="B269" s="3" t="s">
        <v>690</v>
      </c>
      <c r="C269" s="3" t="s">
        <v>587</v>
      </c>
      <c r="D269" s="3" t="s">
        <v>935</v>
      </c>
      <c r="E269" s="3" t="s">
        <v>936</v>
      </c>
      <c r="F269" s="3" t="s">
        <v>937</v>
      </c>
      <c r="G269" s="3" t="s">
        <v>938</v>
      </c>
      <c r="H269" s="19">
        <v>46366</v>
      </c>
      <c r="I269" s="19">
        <v>46366</v>
      </c>
      <c r="J269" s="2">
        <f t="shared" si="7"/>
        <v>1</v>
      </c>
      <c r="K269" s="2" t="s">
        <v>16</v>
      </c>
    </row>
    <row r="270" spans="1:11" ht="62.1" customHeight="1">
      <c r="A270" s="2">
        <v>269</v>
      </c>
      <c r="B270" s="6" t="s">
        <v>690</v>
      </c>
      <c r="C270" s="6" t="s">
        <v>587</v>
      </c>
      <c r="D270" s="6" t="s">
        <v>939</v>
      </c>
      <c r="E270" s="6" t="s">
        <v>940</v>
      </c>
      <c r="F270" s="6" t="s">
        <v>941</v>
      </c>
      <c r="G270" s="6" t="s">
        <v>942</v>
      </c>
      <c r="H270" s="18">
        <v>46366</v>
      </c>
      <c r="I270" s="18">
        <v>46366</v>
      </c>
      <c r="J270" s="5">
        <f t="shared" si="7"/>
        <v>1</v>
      </c>
      <c r="K270" s="5" t="s">
        <v>16</v>
      </c>
    </row>
    <row r="271" spans="1:11" ht="62.1" customHeight="1">
      <c r="A271" s="5">
        <v>270</v>
      </c>
      <c r="B271" s="3" t="s">
        <v>690</v>
      </c>
      <c r="C271" s="3" t="s">
        <v>587</v>
      </c>
      <c r="D271" s="3" t="s">
        <v>943</v>
      </c>
      <c r="E271" s="3" t="s">
        <v>944</v>
      </c>
      <c r="F271" s="3" t="s">
        <v>945</v>
      </c>
      <c r="G271" s="3" t="s">
        <v>946</v>
      </c>
      <c r="H271" s="19">
        <v>46366</v>
      </c>
      <c r="I271" s="19">
        <v>46366</v>
      </c>
      <c r="J271" s="2">
        <f t="shared" si="7"/>
        <v>1</v>
      </c>
      <c r="K271" s="2" t="s">
        <v>16</v>
      </c>
    </row>
    <row r="272" spans="1:11" ht="62.1" customHeight="1">
      <c r="A272" s="5">
        <v>271</v>
      </c>
      <c r="B272" s="6" t="s">
        <v>690</v>
      </c>
      <c r="C272" s="6" t="s">
        <v>587</v>
      </c>
      <c r="D272" s="6" t="s">
        <v>947</v>
      </c>
      <c r="E272" s="6" t="s">
        <v>948</v>
      </c>
      <c r="F272" s="6" t="s">
        <v>949</v>
      </c>
      <c r="G272" s="6" t="s">
        <v>950</v>
      </c>
      <c r="H272" s="18">
        <v>46366</v>
      </c>
      <c r="I272" s="18">
        <v>46366</v>
      </c>
      <c r="J272" s="5">
        <f t="shared" ref="J272:J296" si="8">NETWORKDAYS(H272,I272)</f>
        <v>1</v>
      </c>
      <c r="K272" s="5" t="s">
        <v>16</v>
      </c>
    </row>
    <row r="273" spans="1:11" ht="62.1" customHeight="1">
      <c r="A273" s="2">
        <v>272</v>
      </c>
      <c r="B273" s="3" t="s">
        <v>690</v>
      </c>
      <c r="C273" s="3" t="s">
        <v>587</v>
      </c>
      <c r="D273" s="3" t="s">
        <v>951</v>
      </c>
      <c r="E273" s="3" t="s">
        <v>952</v>
      </c>
      <c r="F273" s="3" t="s">
        <v>953</v>
      </c>
      <c r="G273" s="3" t="s">
        <v>954</v>
      </c>
      <c r="H273" s="19">
        <v>46366</v>
      </c>
      <c r="I273" s="19">
        <v>46366</v>
      </c>
      <c r="J273" s="2">
        <f t="shared" si="8"/>
        <v>1</v>
      </c>
      <c r="K273" s="2" t="s">
        <v>16</v>
      </c>
    </row>
    <row r="274" spans="1:11" ht="62.1" customHeight="1">
      <c r="A274" s="5">
        <v>273</v>
      </c>
      <c r="B274" s="6" t="s">
        <v>690</v>
      </c>
      <c r="C274" s="6" t="s">
        <v>587</v>
      </c>
      <c r="D274" s="6" t="s">
        <v>955</v>
      </c>
      <c r="E274" s="6" t="s">
        <v>956</v>
      </c>
      <c r="F274" s="6" t="s">
        <v>957</v>
      </c>
      <c r="G274" s="6" t="s">
        <v>958</v>
      </c>
      <c r="H274" s="18">
        <v>46366</v>
      </c>
      <c r="I274" s="18">
        <v>46366</v>
      </c>
      <c r="J274" s="5">
        <f t="shared" si="8"/>
        <v>1</v>
      </c>
      <c r="K274" s="5" t="s">
        <v>16</v>
      </c>
    </row>
    <row r="275" spans="1:11" ht="62.1" customHeight="1">
      <c r="A275" s="5">
        <v>274</v>
      </c>
      <c r="B275" s="3" t="s">
        <v>690</v>
      </c>
      <c r="C275" s="3" t="s">
        <v>587</v>
      </c>
      <c r="D275" s="3" t="s">
        <v>959</v>
      </c>
      <c r="E275" s="3" t="s">
        <v>960</v>
      </c>
      <c r="F275" s="3" t="s">
        <v>961</v>
      </c>
      <c r="G275" s="3" t="s">
        <v>962</v>
      </c>
      <c r="H275" s="19">
        <v>46366</v>
      </c>
      <c r="I275" s="19">
        <v>46366</v>
      </c>
      <c r="J275" s="2">
        <f t="shared" si="8"/>
        <v>1</v>
      </c>
      <c r="K275" s="2" t="s">
        <v>16</v>
      </c>
    </row>
    <row r="276" spans="1:11" ht="62.1" customHeight="1">
      <c r="A276" s="2">
        <v>275</v>
      </c>
      <c r="B276" s="6" t="s">
        <v>690</v>
      </c>
      <c r="C276" s="6" t="s">
        <v>587</v>
      </c>
      <c r="D276" s="6" t="s">
        <v>963</v>
      </c>
      <c r="E276" s="6" t="s">
        <v>964</v>
      </c>
      <c r="F276" s="6" t="s">
        <v>965</v>
      </c>
      <c r="G276" s="6" t="s">
        <v>966</v>
      </c>
      <c r="H276" s="18">
        <v>46366</v>
      </c>
      <c r="I276" s="18">
        <v>46366</v>
      </c>
      <c r="J276" s="5">
        <f t="shared" si="8"/>
        <v>1</v>
      </c>
      <c r="K276" s="5" t="s">
        <v>16</v>
      </c>
    </row>
    <row r="277" spans="1:11" ht="62.1" customHeight="1">
      <c r="A277" s="5">
        <v>276</v>
      </c>
      <c r="B277" s="3" t="s">
        <v>690</v>
      </c>
      <c r="C277" s="3" t="s">
        <v>587</v>
      </c>
      <c r="D277" s="3" t="s">
        <v>967</v>
      </c>
      <c r="E277" s="3" t="s">
        <v>968</v>
      </c>
      <c r="F277" s="3" t="s">
        <v>969</v>
      </c>
      <c r="G277" s="3" t="s">
        <v>970</v>
      </c>
      <c r="H277" s="19">
        <v>46366</v>
      </c>
      <c r="I277" s="19">
        <v>46366</v>
      </c>
      <c r="J277" s="2">
        <f t="shared" si="8"/>
        <v>1</v>
      </c>
      <c r="K277" s="2" t="s">
        <v>16</v>
      </c>
    </row>
    <row r="278" spans="1:11" ht="62.1" customHeight="1">
      <c r="A278" s="5">
        <v>277</v>
      </c>
      <c r="B278" s="6" t="s">
        <v>690</v>
      </c>
      <c r="C278" s="6" t="s">
        <v>587</v>
      </c>
      <c r="D278" s="6" t="s">
        <v>971</v>
      </c>
      <c r="E278" s="6" t="s">
        <v>972</v>
      </c>
      <c r="F278" s="6" t="s">
        <v>973</v>
      </c>
      <c r="G278" s="6" t="s">
        <v>974</v>
      </c>
      <c r="H278" s="18">
        <v>46366</v>
      </c>
      <c r="I278" s="18">
        <v>46366</v>
      </c>
      <c r="J278" s="5">
        <f t="shared" si="8"/>
        <v>1</v>
      </c>
      <c r="K278" s="5" t="s">
        <v>16</v>
      </c>
    </row>
    <row r="279" spans="1:11" ht="62.1" customHeight="1">
      <c r="A279" s="2">
        <v>278</v>
      </c>
      <c r="B279" s="3" t="s">
        <v>690</v>
      </c>
      <c r="C279" s="3" t="s">
        <v>587</v>
      </c>
      <c r="D279" s="3" t="s">
        <v>975</v>
      </c>
      <c r="E279" s="3" t="s">
        <v>976</v>
      </c>
      <c r="F279" s="3" t="s">
        <v>977</v>
      </c>
      <c r="G279" s="3" t="s">
        <v>978</v>
      </c>
      <c r="H279" s="19">
        <v>46366</v>
      </c>
      <c r="I279" s="19">
        <v>46366</v>
      </c>
      <c r="J279" s="2">
        <f t="shared" si="8"/>
        <v>1</v>
      </c>
      <c r="K279" s="2" t="s">
        <v>16</v>
      </c>
    </row>
    <row r="280" spans="1:11" ht="62.1" customHeight="1">
      <c r="A280" s="5">
        <v>279</v>
      </c>
      <c r="B280" s="6" t="s">
        <v>690</v>
      </c>
      <c r="C280" s="6" t="s">
        <v>587</v>
      </c>
      <c r="D280" s="6" t="s">
        <v>979</v>
      </c>
      <c r="E280" s="6" t="s">
        <v>980</v>
      </c>
      <c r="F280" s="6" t="s">
        <v>981</v>
      </c>
      <c r="G280" s="6" t="s">
        <v>982</v>
      </c>
      <c r="H280" s="18">
        <v>46366</v>
      </c>
      <c r="I280" s="18">
        <v>46366</v>
      </c>
      <c r="J280" s="5">
        <f t="shared" si="8"/>
        <v>1</v>
      </c>
      <c r="K280" s="5" t="s">
        <v>16</v>
      </c>
    </row>
    <row r="281" spans="1:11" ht="62.1" customHeight="1">
      <c r="A281" s="5">
        <v>280</v>
      </c>
      <c r="B281" s="3" t="s">
        <v>690</v>
      </c>
      <c r="C281" s="3" t="s">
        <v>587</v>
      </c>
      <c r="D281" s="3" t="s">
        <v>983</v>
      </c>
      <c r="E281" s="3" t="s">
        <v>984</v>
      </c>
      <c r="F281" s="3" t="s">
        <v>985</v>
      </c>
      <c r="G281" s="3" t="s">
        <v>986</v>
      </c>
      <c r="H281" s="19">
        <v>46366</v>
      </c>
      <c r="I281" s="19">
        <v>46366</v>
      </c>
      <c r="J281" s="2">
        <f t="shared" si="8"/>
        <v>1</v>
      </c>
      <c r="K281" s="2" t="s">
        <v>16</v>
      </c>
    </row>
    <row r="282" spans="1:11" ht="62.1" customHeight="1">
      <c r="A282" s="2">
        <v>281</v>
      </c>
      <c r="B282" s="6" t="s">
        <v>690</v>
      </c>
      <c r="C282" s="6" t="s">
        <v>587</v>
      </c>
      <c r="D282" s="6" t="s">
        <v>987</v>
      </c>
      <c r="E282" s="6" t="s">
        <v>988</v>
      </c>
      <c r="F282" s="6" t="s">
        <v>989</v>
      </c>
      <c r="G282" s="6" t="s">
        <v>990</v>
      </c>
      <c r="H282" s="18">
        <v>46366</v>
      </c>
      <c r="I282" s="18">
        <v>46366</v>
      </c>
      <c r="J282" s="5">
        <f t="shared" si="8"/>
        <v>1</v>
      </c>
      <c r="K282" s="5" t="s">
        <v>16</v>
      </c>
    </row>
    <row r="283" spans="1:11" ht="62.1" customHeight="1">
      <c r="A283" s="5">
        <v>282</v>
      </c>
      <c r="B283" s="3" t="s">
        <v>690</v>
      </c>
      <c r="C283" s="3" t="s">
        <v>587</v>
      </c>
      <c r="D283" s="3" t="s">
        <v>991</v>
      </c>
      <c r="E283" s="3" t="s">
        <v>992</v>
      </c>
      <c r="F283" s="3" t="s">
        <v>993</v>
      </c>
      <c r="G283" s="3" t="s">
        <v>994</v>
      </c>
      <c r="H283" s="19">
        <v>46367</v>
      </c>
      <c r="I283" s="19">
        <v>46367</v>
      </c>
      <c r="J283" s="2">
        <f t="shared" si="8"/>
        <v>1</v>
      </c>
      <c r="K283" s="2" t="s">
        <v>16</v>
      </c>
    </row>
    <row r="284" spans="1:11" ht="62.1" customHeight="1">
      <c r="A284" s="5">
        <v>283</v>
      </c>
      <c r="B284" s="6" t="s">
        <v>690</v>
      </c>
      <c r="C284" s="6" t="s">
        <v>587</v>
      </c>
      <c r="D284" s="6" t="s">
        <v>995</v>
      </c>
      <c r="E284" s="6" t="s">
        <v>996</v>
      </c>
      <c r="F284" s="6" t="s">
        <v>997</v>
      </c>
      <c r="G284" s="6" t="s">
        <v>998</v>
      </c>
      <c r="H284" s="18">
        <v>46367</v>
      </c>
      <c r="I284" s="18">
        <v>46367</v>
      </c>
      <c r="J284" s="5">
        <f t="shared" si="8"/>
        <v>1</v>
      </c>
      <c r="K284" s="5" t="s">
        <v>16</v>
      </c>
    </row>
    <row r="285" spans="1:11" ht="62.1" customHeight="1">
      <c r="A285" s="2">
        <v>284</v>
      </c>
      <c r="B285" s="3" t="s">
        <v>690</v>
      </c>
      <c r="C285" s="3" t="s">
        <v>587</v>
      </c>
      <c r="D285" s="3" t="s">
        <v>999</v>
      </c>
      <c r="E285" s="3" t="s">
        <v>1000</v>
      </c>
      <c r="F285" s="3" t="s">
        <v>1001</v>
      </c>
      <c r="G285" s="3" t="s">
        <v>1002</v>
      </c>
      <c r="H285" s="19">
        <v>46367</v>
      </c>
      <c r="I285" s="19">
        <v>46367</v>
      </c>
      <c r="J285" s="2">
        <f t="shared" si="8"/>
        <v>1</v>
      </c>
      <c r="K285" s="2" t="s">
        <v>16</v>
      </c>
    </row>
    <row r="286" spans="1:11" ht="62.1" customHeight="1">
      <c r="A286" s="5">
        <v>285</v>
      </c>
      <c r="B286" s="6" t="s">
        <v>690</v>
      </c>
      <c r="C286" s="6" t="s">
        <v>587</v>
      </c>
      <c r="D286" s="6" t="s">
        <v>1003</v>
      </c>
      <c r="E286" s="6" t="s">
        <v>1004</v>
      </c>
      <c r="F286" s="6" t="s">
        <v>1005</v>
      </c>
      <c r="G286" s="6" t="s">
        <v>1006</v>
      </c>
      <c r="H286" s="18">
        <v>46367</v>
      </c>
      <c r="I286" s="18">
        <v>46367</v>
      </c>
      <c r="J286" s="5">
        <f t="shared" si="8"/>
        <v>1</v>
      </c>
      <c r="K286" s="5" t="s">
        <v>16</v>
      </c>
    </row>
    <row r="287" spans="1:11" ht="62.1" customHeight="1">
      <c r="A287" s="5">
        <v>286</v>
      </c>
      <c r="B287" s="3" t="s">
        <v>690</v>
      </c>
      <c r="C287" s="3" t="s">
        <v>587</v>
      </c>
      <c r="D287" s="3" t="s">
        <v>1007</v>
      </c>
      <c r="E287" s="3" t="s">
        <v>1008</v>
      </c>
      <c r="F287" s="3" t="s">
        <v>1009</v>
      </c>
      <c r="G287" s="3" t="s">
        <v>938</v>
      </c>
      <c r="H287" s="19">
        <v>46367</v>
      </c>
      <c r="I287" s="19">
        <v>46367</v>
      </c>
      <c r="J287" s="2">
        <f t="shared" si="8"/>
        <v>1</v>
      </c>
      <c r="K287" s="2" t="s">
        <v>16</v>
      </c>
    </row>
    <row r="288" spans="1:11" ht="62.1" customHeight="1">
      <c r="A288" s="2">
        <v>287</v>
      </c>
      <c r="B288" s="6" t="s">
        <v>690</v>
      </c>
      <c r="C288" s="6" t="s">
        <v>587</v>
      </c>
      <c r="D288" s="6" t="s">
        <v>1010</v>
      </c>
      <c r="E288" s="6" t="s">
        <v>1011</v>
      </c>
      <c r="F288" s="6" t="s">
        <v>1012</v>
      </c>
      <c r="G288" s="6" t="s">
        <v>1013</v>
      </c>
      <c r="H288" s="18">
        <v>46367</v>
      </c>
      <c r="I288" s="18">
        <v>46367</v>
      </c>
      <c r="J288" s="5">
        <f t="shared" si="8"/>
        <v>1</v>
      </c>
      <c r="K288" s="5" t="s">
        <v>16</v>
      </c>
    </row>
    <row r="289" spans="1:11" ht="62.1" customHeight="1">
      <c r="A289" s="5">
        <v>288</v>
      </c>
      <c r="B289" s="3" t="s">
        <v>690</v>
      </c>
      <c r="C289" s="3" t="s">
        <v>587</v>
      </c>
      <c r="D289" s="3" t="s">
        <v>1014</v>
      </c>
      <c r="E289" s="3" t="s">
        <v>1015</v>
      </c>
      <c r="F289" s="3" t="s">
        <v>1016</v>
      </c>
      <c r="G289" s="3" t="s">
        <v>1017</v>
      </c>
      <c r="H289" s="19">
        <v>46367</v>
      </c>
      <c r="I289" s="19">
        <v>46367</v>
      </c>
      <c r="J289" s="2">
        <f t="shared" si="8"/>
        <v>1</v>
      </c>
      <c r="K289" s="2" t="s">
        <v>16</v>
      </c>
    </row>
    <row r="290" spans="1:11" ht="62.1" customHeight="1">
      <c r="A290" s="5">
        <v>289</v>
      </c>
      <c r="B290" s="6" t="s">
        <v>690</v>
      </c>
      <c r="C290" s="6" t="s">
        <v>587</v>
      </c>
      <c r="D290" s="6" t="s">
        <v>1018</v>
      </c>
      <c r="E290" s="6" t="s">
        <v>1019</v>
      </c>
      <c r="F290" s="6" t="s">
        <v>1020</v>
      </c>
      <c r="G290" s="6" t="s">
        <v>938</v>
      </c>
      <c r="H290" s="18">
        <v>46367</v>
      </c>
      <c r="I290" s="18">
        <v>46367</v>
      </c>
      <c r="J290" s="5">
        <f t="shared" si="8"/>
        <v>1</v>
      </c>
      <c r="K290" s="5" t="s">
        <v>16</v>
      </c>
    </row>
    <row r="291" spans="1:11" ht="62.1" customHeight="1">
      <c r="A291" s="2">
        <v>290</v>
      </c>
      <c r="B291" s="3" t="s">
        <v>690</v>
      </c>
      <c r="C291" s="3" t="s">
        <v>587</v>
      </c>
      <c r="D291" s="3" t="s">
        <v>1021</v>
      </c>
      <c r="E291" s="3" t="s">
        <v>1022</v>
      </c>
      <c r="F291" s="3" t="s">
        <v>1023</v>
      </c>
      <c r="G291" s="3" t="s">
        <v>1024</v>
      </c>
      <c r="H291" s="19">
        <v>46367</v>
      </c>
      <c r="I291" s="19">
        <v>46367</v>
      </c>
      <c r="J291" s="2">
        <f t="shared" si="8"/>
        <v>1</v>
      </c>
      <c r="K291" s="2" t="s">
        <v>16</v>
      </c>
    </row>
    <row r="292" spans="1:11" ht="62.1" customHeight="1">
      <c r="A292" s="5">
        <v>291</v>
      </c>
      <c r="B292" s="6" t="s">
        <v>690</v>
      </c>
      <c r="C292" s="6" t="s">
        <v>587</v>
      </c>
      <c r="D292" s="6" t="s">
        <v>1025</v>
      </c>
      <c r="E292" s="6" t="s">
        <v>1026</v>
      </c>
      <c r="F292" s="6" t="s">
        <v>1027</v>
      </c>
      <c r="G292" s="6" t="s">
        <v>1028</v>
      </c>
      <c r="H292" s="18">
        <v>46367</v>
      </c>
      <c r="I292" s="18">
        <v>46367</v>
      </c>
      <c r="J292" s="5">
        <f t="shared" si="8"/>
        <v>1</v>
      </c>
      <c r="K292" s="5" t="s">
        <v>16</v>
      </c>
    </row>
    <row r="293" spans="1:11" ht="62.1" customHeight="1">
      <c r="A293" s="5">
        <v>292</v>
      </c>
      <c r="B293" s="3" t="s">
        <v>690</v>
      </c>
      <c r="C293" s="3" t="s">
        <v>587</v>
      </c>
      <c r="D293" s="3" t="s">
        <v>1029</v>
      </c>
      <c r="E293" s="3" t="s">
        <v>1030</v>
      </c>
      <c r="F293" s="3" t="s">
        <v>1031</v>
      </c>
      <c r="G293" s="3" t="s">
        <v>938</v>
      </c>
      <c r="H293" s="19">
        <v>46367</v>
      </c>
      <c r="I293" s="19">
        <v>46367</v>
      </c>
      <c r="J293" s="2">
        <f t="shared" si="8"/>
        <v>1</v>
      </c>
      <c r="K293" s="2" t="s">
        <v>16</v>
      </c>
    </row>
    <row r="294" spans="1:11" ht="62.1" customHeight="1">
      <c r="A294" s="2">
        <v>293</v>
      </c>
      <c r="B294" s="6" t="s">
        <v>690</v>
      </c>
      <c r="C294" s="6" t="s">
        <v>587</v>
      </c>
      <c r="D294" s="6" t="s">
        <v>1032</v>
      </c>
      <c r="E294" s="6" t="s">
        <v>1033</v>
      </c>
      <c r="F294" s="6" t="s">
        <v>1034</v>
      </c>
      <c r="G294" s="6" t="s">
        <v>1035</v>
      </c>
      <c r="H294" s="18">
        <v>46367</v>
      </c>
      <c r="I294" s="18">
        <v>46367</v>
      </c>
      <c r="J294" s="5">
        <f t="shared" si="8"/>
        <v>1</v>
      </c>
      <c r="K294" s="5" t="s">
        <v>16</v>
      </c>
    </row>
    <row r="295" spans="1:11" ht="62.1" customHeight="1">
      <c r="A295" s="5">
        <v>294</v>
      </c>
      <c r="B295" s="3" t="s">
        <v>690</v>
      </c>
      <c r="C295" s="3" t="s">
        <v>587</v>
      </c>
      <c r="D295" s="3" t="s">
        <v>1036</v>
      </c>
      <c r="E295" s="3" t="s">
        <v>1037</v>
      </c>
      <c r="F295" s="3" t="s">
        <v>1038</v>
      </c>
      <c r="G295" s="3" t="s">
        <v>1039</v>
      </c>
      <c r="H295" s="19">
        <v>46367</v>
      </c>
      <c r="I295" s="19">
        <v>46367</v>
      </c>
      <c r="J295" s="2">
        <f t="shared" si="8"/>
        <v>1</v>
      </c>
      <c r="K295" s="2" t="s">
        <v>16</v>
      </c>
    </row>
    <row r="296" spans="1:11" ht="62.1" customHeight="1">
      <c r="A296" s="5">
        <v>295</v>
      </c>
      <c r="B296" s="6" t="s">
        <v>690</v>
      </c>
      <c r="C296" s="6" t="s">
        <v>587</v>
      </c>
      <c r="D296" s="6" t="s">
        <v>1040</v>
      </c>
      <c r="E296" s="6" t="s">
        <v>1041</v>
      </c>
      <c r="F296" s="6" t="s">
        <v>1042</v>
      </c>
      <c r="G296" s="6" t="s">
        <v>1043</v>
      </c>
      <c r="H296" s="18">
        <v>46367</v>
      </c>
      <c r="I296" s="18">
        <v>46367</v>
      </c>
      <c r="J296" s="5">
        <f t="shared" si="8"/>
        <v>1</v>
      </c>
      <c r="K296" s="5" t="s">
        <v>16</v>
      </c>
    </row>
    <row r="297" spans="1:11" ht="62.1" customHeight="1">
      <c r="A297" s="2"/>
      <c r="B297" s="3"/>
      <c r="C297" s="3"/>
      <c r="D297" s="3"/>
      <c r="E297" s="3"/>
      <c r="F297" s="3"/>
      <c r="G297" s="3"/>
      <c r="H297" s="4"/>
      <c r="I297" s="4"/>
      <c r="J297" s="2"/>
      <c r="K297" s="2"/>
    </row>
    <row r="298" spans="1:11" ht="62.1" customHeight="1">
      <c r="A298" s="5"/>
      <c r="B298" s="6"/>
      <c r="C298" s="6"/>
      <c r="D298" s="6"/>
      <c r="E298" s="6"/>
      <c r="F298" s="6"/>
      <c r="G298" s="6"/>
      <c r="H298" s="7"/>
      <c r="I298" s="7"/>
      <c r="J298" s="5"/>
      <c r="K298" s="5"/>
    </row>
  </sheetData>
  <autoFilter ref="A1:K298">
    <filterColumn colId="6"/>
  </autoFilter>
  <conditionalFormatting sqref="K2:K298">
    <cfRule type="expression" dxfId="2" priority="4">
      <formula>$K2="Done"</formula>
    </cfRule>
    <cfRule type="expression" dxfId="1" priority="5">
      <formula>$K2="In progress"</formula>
    </cfRule>
    <cfRule type="expression" dxfId="0" priority="6">
      <formula>$K2="Blocked"</formula>
    </cfRule>
  </conditionalFormatting>
  <dataValidations count="1">
    <dataValidation type="list" errorTitle="Status" error="Pick a status from the list" sqref="K2:K298">
      <formula1>"Not started,In progress,Blocked,Done"</formula1>
    </dataValidation>
  </dataValidations>
  <pageMargins left="0.75" right="0.75" top="1" bottom="1" header="0.5" footer="0.5"/>
  <pageSetup paperSize="9" scale="54" fitToHeight="0" orientation="landscape" horizontalDpi="300" r:id="rId1"/>
  <headerFooter>
    <oddHeader>&amp;LCCA page improvement timeline</oddHeader>
    <oddFooter>&amp;RPage &amp;P of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I14"/>
  <sheetViews>
    <sheetView showGridLines="0" zoomScale="120" workbookViewId="0">
      <pane ySplit="1" topLeftCell="A2" activePane="bottomLeft" state="frozen"/>
      <selection pane="bottomLeft" activeCell="C20" sqref="C20"/>
    </sheetView>
  </sheetViews>
  <sheetFormatPr defaultRowHeight="15"/>
  <cols>
    <col min="1" max="1" width="28" customWidth="1"/>
    <col min="2" max="2" width="20" customWidth="1"/>
    <col min="3" max="3" width="12" customWidth="1"/>
    <col min="4" max="7" width="16" customWidth="1"/>
    <col min="8" max="8" width="14" customWidth="1"/>
    <col min="9" max="9" width="12" customWidth="1"/>
  </cols>
  <sheetData>
    <row r="1" spans="1:9">
      <c r="A1" s="8" t="s">
        <v>1</v>
      </c>
      <c r="B1" s="8" t="s">
        <v>2</v>
      </c>
      <c r="C1" s="8" t="s">
        <v>1044</v>
      </c>
      <c r="D1" s="8" t="s">
        <v>1045</v>
      </c>
      <c r="E1" s="8" t="s">
        <v>1046</v>
      </c>
      <c r="F1" s="8" t="s">
        <v>16</v>
      </c>
      <c r="G1" s="8" t="s">
        <v>1047</v>
      </c>
      <c r="H1" s="8" t="s">
        <v>1048</v>
      </c>
      <c r="I1" s="8" t="s">
        <v>1049</v>
      </c>
    </row>
    <row r="2" spans="1:9" ht="21.95" customHeight="1">
      <c r="A2" s="13" t="s">
        <v>11</v>
      </c>
      <c r="B2" s="14" t="s">
        <v>11</v>
      </c>
      <c r="C2" s="15">
        <f>COUNTIFS(Timeline!B:B,A2,Timeline!C:C,B2)</f>
        <v>41</v>
      </c>
      <c r="D2" s="16"/>
      <c r="E2" s="16"/>
      <c r="F2" s="15">
        <f>COUNTIFS(Timeline!B:B,A2,Timeline!C:C,B2,Timeline!K:K,"Not started")</f>
        <v>41</v>
      </c>
      <c r="G2" s="15">
        <f>COUNTIFS(Timeline!B:B,A2,Timeline!C:C,B2,Timeline!K:K,"In progress")</f>
        <v>0</v>
      </c>
      <c r="H2" s="15">
        <f>COUNTIFS(Timeline!B:B,A2,Timeline!C:C,B2,Timeline!K:K,"Blocked")</f>
        <v>0</v>
      </c>
      <c r="I2" s="15">
        <f>COUNTIFS(Timeline!B:B,A2,Timeline!C:C,B2,Timeline!K:K,"Done")</f>
        <v>0</v>
      </c>
    </row>
    <row r="3" spans="1:9" ht="21.95" customHeight="1">
      <c r="A3" s="9" t="s">
        <v>141</v>
      </c>
      <c r="B3" s="10" t="s">
        <v>141</v>
      </c>
      <c r="C3" s="11">
        <f>COUNTIFS(Timeline!B:B,A3,Timeline!C:C,B3)</f>
        <v>41</v>
      </c>
      <c r="D3" s="12"/>
      <c r="E3" s="12"/>
      <c r="F3" s="11">
        <f>COUNTIFS(Timeline!B:B,A3,Timeline!C:C,B3,Timeline!K:K,"Not started")</f>
        <v>41</v>
      </c>
      <c r="G3" s="11">
        <f>COUNTIFS(Timeline!B:B,A3,Timeline!C:C,B3,Timeline!K:K,"In progress")</f>
        <v>0</v>
      </c>
      <c r="H3" s="11">
        <f>COUNTIFS(Timeline!B:B,A3,Timeline!C:C,B3,Timeline!K:K,"Blocked")</f>
        <v>0</v>
      </c>
      <c r="I3" s="11">
        <f>COUNTIFS(Timeline!B:B,A3,Timeline!C:C,B3,Timeline!K:K,"Done")</f>
        <v>0</v>
      </c>
    </row>
    <row r="4" spans="1:9" ht="21.95" customHeight="1">
      <c r="A4" s="13" t="s">
        <v>244</v>
      </c>
      <c r="B4" s="14" t="s">
        <v>245</v>
      </c>
      <c r="C4" s="15">
        <f>COUNTIFS(Timeline!B:B,A4,Timeline!C:C,B4)</f>
        <v>13</v>
      </c>
      <c r="D4" s="16"/>
      <c r="E4" s="16"/>
      <c r="F4" s="15">
        <f>COUNTIFS(Timeline!B:B,A4,Timeline!C:C,B4,Timeline!K:K,"Not started")</f>
        <v>13</v>
      </c>
      <c r="G4" s="15">
        <f>COUNTIFS(Timeline!B:B,A4,Timeline!C:C,B4,Timeline!K:K,"In progress")</f>
        <v>0</v>
      </c>
      <c r="H4" s="15">
        <f>COUNTIFS(Timeline!B:B,A4,Timeline!C:C,B4,Timeline!K:K,"Blocked")</f>
        <v>0</v>
      </c>
      <c r="I4" s="15">
        <f>COUNTIFS(Timeline!B:B,A4,Timeline!C:C,B4,Timeline!K:K,"Done")</f>
        <v>0</v>
      </c>
    </row>
    <row r="5" spans="1:9" ht="21.95" customHeight="1">
      <c r="A5" s="9" t="s">
        <v>298</v>
      </c>
      <c r="B5" s="10" t="s">
        <v>298</v>
      </c>
      <c r="C5" s="11">
        <f>COUNTIFS(Timeline!B:B,A5,Timeline!C:C,B5)</f>
        <v>12</v>
      </c>
      <c r="D5" s="12"/>
      <c r="E5" s="12"/>
      <c r="F5" s="11">
        <f>COUNTIFS(Timeline!B:B,A5,Timeline!C:C,B5,Timeline!K:K,"Not started")</f>
        <v>12</v>
      </c>
      <c r="G5" s="11">
        <f>COUNTIFS(Timeline!B:B,A5,Timeline!C:C,B5,Timeline!K:K,"In progress")</f>
        <v>0</v>
      </c>
      <c r="H5" s="11">
        <f>COUNTIFS(Timeline!B:B,A5,Timeline!C:C,B5,Timeline!K:K,"Blocked")</f>
        <v>0</v>
      </c>
      <c r="I5" s="11">
        <f>COUNTIFS(Timeline!B:B,A5,Timeline!C:C,B5,Timeline!K:K,"Done")</f>
        <v>0</v>
      </c>
    </row>
    <row r="6" spans="1:9" ht="21.95" customHeight="1">
      <c r="A6" s="13" t="s">
        <v>346</v>
      </c>
      <c r="B6" s="14" t="s">
        <v>346</v>
      </c>
      <c r="C6" s="15">
        <f>COUNTIFS(Timeline!B:B,A6,Timeline!C:C,B6)</f>
        <v>34</v>
      </c>
      <c r="D6" s="16"/>
      <c r="E6" s="16"/>
      <c r="F6" s="15">
        <f>COUNTIFS(Timeline!B:B,A6,Timeline!C:C,B6,Timeline!K:K,"Not started")</f>
        <v>34</v>
      </c>
      <c r="G6" s="15">
        <f>COUNTIFS(Timeline!B:B,A6,Timeline!C:C,B6,Timeline!K:K,"In progress")</f>
        <v>0</v>
      </c>
      <c r="H6" s="15">
        <f>COUNTIFS(Timeline!B:B,A6,Timeline!C:C,B6,Timeline!K:K,"Blocked")</f>
        <v>0</v>
      </c>
      <c r="I6" s="15">
        <f>COUNTIFS(Timeline!B:B,A6,Timeline!C:C,B6,Timeline!K:K,"Done")</f>
        <v>0</v>
      </c>
    </row>
    <row r="7" spans="1:9" ht="21.95" customHeight="1">
      <c r="A7" s="9" t="s">
        <v>483</v>
      </c>
      <c r="B7" s="10" t="s">
        <v>483</v>
      </c>
      <c r="C7" s="11">
        <f>COUNTIFS(Timeline!B:B,A7,Timeline!C:C,B7)</f>
        <v>34</v>
      </c>
      <c r="D7" s="12"/>
      <c r="E7" s="12"/>
      <c r="F7" s="11">
        <f>COUNTIFS(Timeline!B:B,A7,Timeline!C:C,B7,Timeline!K:K,"Not started")</f>
        <v>34</v>
      </c>
      <c r="G7" s="11">
        <f>COUNTIFS(Timeline!B:B,A7,Timeline!C:C,B7,Timeline!K:K,"In progress")</f>
        <v>0</v>
      </c>
      <c r="H7" s="11">
        <f>COUNTIFS(Timeline!B:B,A7,Timeline!C:C,B7,Timeline!K:K,"Blocked")</f>
        <v>0</v>
      </c>
      <c r="I7" s="11">
        <f>COUNTIFS(Timeline!B:B,A7,Timeline!C:C,B7,Timeline!K:K,"Done")</f>
        <v>0</v>
      </c>
    </row>
    <row r="8" spans="1:9" ht="21.95" customHeight="1">
      <c r="A8" s="13" t="s">
        <v>562</v>
      </c>
      <c r="B8" s="14" t="s">
        <v>346</v>
      </c>
      <c r="C8" s="15">
        <f>COUNTIFS(Timeline!B:B,A8,Timeline!C:C,B8)</f>
        <v>5</v>
      </c>
      <c r="D8" s="16"/>
      <c r="E8" s="16"/>
      <c r="F8" s="15">
        <f>COUNTIFS(Timeline!B:B,A8,Timeline!C:C,B8,Timeline!K:K,"Not started")</f>
        <v>5</v>
      </c>
      <c r="G8" s="15">
        <f>COUNTIFS(Timeline!B:B,A8,Timeline!C:C,B8,Timeline!K:K,"In progress")</f>
        <v>0</v>
      </c>
      <c r="H8" s="15">
        <f>COUNTIFS(Timeline!B:B,A8,Timeline!C:C,B8,Timeline!K:K,"Blocked")</f>
        <v>0</v>
      </c>
      <c r="I8" s="15">
        <f>COUNTIFS(Timeline!B:B,A8,Timeline!C:C,B8,Timeline!K:K,"Done")</f>
        <v>0</v>
      </c>
    </row>
    <row r="9" spans="1:9" ht="21.95" customHeight="1">
      <c r="A9" s="9" t="s">
        <v>562</v>
      </c>
      <c r="B9" s="10" t="s">
        <v>245</v>
      </c>
      <c r="C9" s="11">
        <f>COUNTIFS(Timeline!B:B,A9,Timeline!C:C,B9)</f>
        <v>1</v>
      </c>
      <c r="D9" s="12"/>
      <c r="E9" s="12"/>
      <c r="F9" s="11">
        <f>COUNTIFS(Timeline!B:B,A9,Timeline!C:C,B9,Timeline!K:K,"Not started")</f>
        <v>1</v>
      </c>
      <c r="G9" s="11">
        <f>COUNTIFS(Timeline!B:B,A9,Timeline!C:C,B9,Timeline!K:K,"In progress")</f>
        <v>0</v>
      </c>
      <c r="H9" s="11">
        <f>COUNTIFS(Timeline!B:B,A9,Timeline!C:C,B9,Timeline!K:K,"Blocked")</f>
        <v>0</v>
      </c>
      <c r="I9" s="11">
        <f>COUNTIFS(Timeline!B:B,A9,Timeline!C:C,B9,Timeline!K:K,"Done")</f>
        <v>0</v>
      </c>
    </row>
    <row r="10" spans="1:9" ht="21.95" customHeight="1">
      <c r="A10" s="13" t="s">
        <v>562</v>
      </c>
      <c r="B10" s="14" t="s">
        <v>587</v>
      </c>
      <c r="C10" s="15">
        <f>COUNTIFS(Timeline!B:B,A10,Timeline!C:C,B10)</f>
        <v>1</v>
      </c>
      <c r="D10" s="16"/>
      <c r="E10" s="16"/>
      <c r="F10" s="15">
        <f>COUNTIFS(Timeline!B:B,A10,Timeline!C:C,B10,Timeline!K:K,"Not started")</f>
        <v>1</v>
      </c>
      <c r="G10" s="15">
        <f>COUNTIFS(Timeline!B:B,A10,Timeline!C:C,B10,Timeline!K:K,"In progress")</f>
        <v>0</v>
      </c>
      <c r="H10" s="15">
        <f>COUNTIFS(Timeline!B:B,A10,Timeline!C:C,B10,Timeline!K:K,"Blocked")</f>
        <v>0</v>
      </c>
      <c r="I10" s="15">
        <f>COUNTIFS(Timeline!B:B,A10,Timeline!C:C,B10,Timeline!K:K,"Done")</f>
        <v>0</v>
      </c>
    </row>
    <row r="11" spans="1:9" ht="21.95" customHeight="1">
      <c r="A11" s="9" t="s">
        <v>592</v>
      </c>
      <c r="B11" s="10" t="s">
        <v>141</v>
      </c>
      <c r="C11" s="11">
        <f>COUNTIFS(Timeline!B:B,A11,Timeline!C:C,B11)</f>
        <v>6</v>
      </c>
      <c r="D11" s="12"/>
      <c r="E11" s="12"/>
      <c r="F11" s="11">
        <f>COUNTIFS(Timeline!B:B,A11,Timeline!C:C,B11,Timeline!K:K,"Not started")</f>
        <v>6</v>
      </c>
      <c r="G11" s="11">
        <f>COUNTIFS(Timeline!B:B,A11,Timeline!C:C,B11,Timeline!K:K,"In progress")</f>
        <v>0</v>
      </c>
      <c r="H11" s="11">
        <f>COUNTIFS(Timeline!B:B,A11,Timeline!C:C,B11,Timeline!K:K,"Blocked")</f>
        <v>0</v>
      </c>
      <c r="I11" s="11">
        <f>COUNTIFS(Timeline!B:B,A11,Timeline!C:C,B11,Timeline!K:K,"Done")</f>
        <v>0</v>
      </c>
    </row>
    <row r="12" spans="1:9" ht="21.95" customHeight="1">
      <c r="A12" s="13" t="s">
        <v>617</v>
      </c>
      <c r="B12" s="14" t="s">
        <v>245</v>
      </c>
      <c r="C12" s="15">
        <f>COUNTIFS(Timeline!B:B,A12,Timeline!C:C,B12)</f>
        <v>18</v>
      </c>
      <c r="D12" s="16"/>
      <c r="E12" s="16"/>
      <c r="F12" s="15">
        <f>COUNTIFS(Timeline!B:B,A12,Timeline!C:C,B12,Timeline!K:K,"Not started")</f>
        <v>18</v>
      </c>
      <c r="G12" s="15">
        <f>COUNTIFS(Timeline!B:B,A12,Timeline!C:C,B12,Timeline!K:K,"In progress")</f>
        <v>0</v>
      </c>
      <c r="H12" s="15">
        <f>COUNTIFS(Timeline!B:B,A12,Timeline!C:C,B12,Timeline!K:K,"Blocked")</f>
        <v>0</v>
      </c>
      <c r="I12" s="15">
        <f>COUNTIFS(Timeline!B:B,A12,Timeline!C:C,B12,Timeline!K:K,"Done")</f>
        <v>0</v>
      </c>
    </row>
    <row r="13" spans="1:9" ht="21.95" customHeight="1">
      <c r="A13" s="9" t="s">
        <v>690</v>
      </c>
      <c r="B13" s="10" t="s">
        <v>587</v>
      </c>
      <c r="C13" s="11">
        <f>COUNTIFS(Timeline!B:B,A13,Timeline!C:C,B13)</f>
        <v>89</v>
      </c>
      <c r="D13" s="12"/>
      <c r="E13" s="12"/>
      <c r="F13" s="11">
        <f>COUNTIFS(Timeline!B:B,A13,Timeline!C:C,B13,Timeline!K:K,"Not started")</f>
        <v>89</v>
      </c>
      <c r="G13" s="11">
        <f>COUNTIFS(Timeline!B:B,A13,Timeline!C:C,B13,Timeline!K:K,"In progress")</f>
        <v>0</v>
      </c>
      <c r="H13" s="11">
        <f>COUNTIFS(Timeline!B:B,A13,Timeline!C:C,B13,Timeline!K:K,"Blocked")</f>
        <v>0</v>
      </c>
      <c r="I13" s="11">
        <f>COUNTIFS(Timeline!B:B,A13,Timeline!C:C,B13,Timeline!K:K,"Done")</f>
        <v>0</v>
      </c>
    </row>
    <row r="14" spans="1:9">
      <c r="A14" s="17" t="s">
        <v>1050</v>
      </c>
      <c r="B14" s="17"/>
      <c r="C14" s="17">
        <f>SUM(C2:C13)</f>
        <v>295</v>
      </c>
      <c r="D14" s="17"/>
      <c r="E14" s="17"/>
      <c r="F14" s="17">
        <f>SUM(F2:F13)</f>
        <v>295</v>
      </c>
      <c r="G14" s="17">
        <f>SUM(G2:G13)</f>
        <v>0</v>
      </c>
      <c r="H14" s="17">
        <f>SUM(H2:H13)</f>
        <v>0</v>
      </c>
      <c r="I14" s="17">
        <f>SUM(I2:I13)</f>
        <v>0</v>
      </c>
    </row>
  </sheetData>
  <autoFilter ref="A1:I13"/>
  <pageMargins left="0.75" right="0.75" top="1" bottom="1" header="0.5" footer="0.5"/>
  <pageSetup paperSize="9" orientation="landscape"/>
  <headerFooter>
    <oddFoot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Timeline</vt:lpstr>
      <vt:lpstr>Module summary</vt:lpstr>
      <vt:lpstr>'Module summary'!Print_Titles</vt:lpstr>
      <vt:lpstr>Timeline!Print_Titles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2026-10-12T04:29:37Z</dcterms:created>
  <dcterms:modified xsi:type="dcterms:W3CDTF">2026-10-12T09:07:03Z</dcterms:modified>
</cp:coreProperties>
</file>